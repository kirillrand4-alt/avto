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ирект КЦ" sheetId="1" state="visible" r:id="rId1"/>
    <sheet name="Сделки" sheetId="2" state="visible" r:id="rId2"/>
    <sheet name="Комментарий" sheetId="3" state="visible" r:id="rId3"/>
    <sheet name="Методика" sheetId="4" state="visible" r:id="rId4"/>
  </sheets>
  <definedNames>
    <definedName name="_xlnm.Print_Titles" localSheetId="0">'Директ КЦ'!$1:$1</definedName>
    <definedName name="_xlnm._FilterDatabase" localSheetId="1" hidden="1">'Сделки'!$A$1:$O$31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;-"/>
    <numFmt numFmtId="165" formatCode="#,##0.00 ₽;[Red](#,##0.00 ₽);-"/>
    <numFmt numFmtId="166" formatCode="#,##0 ₽;[Red](#,##0 ₽);-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FF0000FF"/>
      <sz val="11"/>
    </font>
    <font>
      <name val="Arial"/>
      <color rgb="FF000000"/>
      <sz val="10"/>
    </font>
    <font>
      <name val="Arial"/>
      <i val="1"/>
      <sz val="9"/>
    </font>
    <font>
      <name val="Arial"/>
      <b val="1"/>
      <sz val="12"/>
    </font>
    <font>
      <name val="Arial"/>
      <b val="1"/>
      <sz val="11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9D2E4"/>
      </patternFill>
    </fill>
    <fill>
      <patternFill patternType="solid">
        <fgColor rgb="FFC9DAF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 wrapText="1"/>
    </xf>
    <xf numFmtId="164" fontId="2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 wrapText="1"/>
    </xf>
    <xf numFmtId="10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/>
    </xf>
    <xf numFmtId="0" fontId="1" fillId="5" borderId="1" pivotButton="0" quotePrefix="0" xfId="0"/>
    <xf numFmtId="0" fontId="0" fillId="5" borderId="1" pivotButton="0" quotePrefix="0" xfId="0"/>
    <xf numFmtId="166" fontId="1" fillId="5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164" fontId="1" fillId="0" borderId="0" applyAlignment="1" pivotButton="0" quotePrefix="0" xfId="0">
      <alignment horizontal="left"/>
    </xf>
    <xf numFmtId="166" fontId="1" fillId="0" borderId="0" applyAlignment="1" pivotButton="0" quotePrefix="0" xfId="0">
      <alignment horizontal="left"/>
    </xf>
    <xf numFmtId="0" fontId="7" fillId="0" borderId="0" pivotButton="0" quotePrefix="0" xfId="0"/>
    <xf numFmtId="0" fontId="8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F2CC"/>
    <outlinePr summaryBelow="1" summaryRight="1"/>
    <pageSetUpPr fitToPage="1"/>
  </sheetPr>
  <dimension ref="A1:B19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.3" customWidth="1" min="1" max="1"/>
    <col width="18" customWidth="1" min="2" max="2"/>
  </cols>
  <sheetData>
    <row r="1">
      <c r="B1" s="1" t="inlineStr">
        <is>
          <t>24.08-30.08</t>
        </is>
      </c>
    </row>
    <row r="2">
      <c r="A2" s="2" t="inlineStr">
        <is>
          <t>Яндекс Директ Общие</t>
        </is>
      </c>
      <c r="B2" s="3">
        <f>B$1</f>
        <v/>
      </c>
    </row>
    <row r="3">
      <c r="A3" s="4" t="inlineStr">
        <is>
          <t>Показы</t>
        </is>
      </c>
      <c r="B3" s="5">
        <f>B24+B675+B884+B991+B1132+B1239+B1329+B1419+B1492+B1565+B1672+B1745+B1801+B1857+B1896</f>
        <v/>
      </c>
    </row>
    <row r="4">
      <c r="A4" s="4" t="inlineStr">
        <is>
          <t>Визиты</t>
        </is>
      </c>
      <c r="B4" s="5">
        <f>B25+B676+B885+B992+B1133+B1240+B1330+B1420+B1493+B1566+B1673+B1746+B1802+B1858+B1897</f>
        <v/>
      </c>
    </row>
    <row r="5">
      <c r="A5" s="6" t="inlineStr">
        <is>
          <t>CTR</t>
        </is>
      </c>
      <c r="B5" s="7">
        <f>IFERROR(B4/B3,0)</f>
        <v/>
      </c>
    </row>
    <row r="6">
      <c r="A6" s="6" t="inlineStr">
        <is>
          <t>CPC</t>
        </is>
      </c>
      <c r="B6" s="8">
        <f>IFERROR(B12/B4,0)</f>
        <v/>
      </c>
    </row>
    <row r="7">
      <c r="A7" s="6" t="inlineStr">
        <is>
          <t>Конверсия в заявку</t>
        </is>
      </c>
      <c r="B7" s="7">
        <f>IFERROR(B8/B4,0)</f>
        <v/>
      </c>
    </row>
    <row r="8">
      <c r="A8" s="4" t="inlineStr">
        <is>
          <t>Лид 1</t>
        </is>
      </c>
      <c r="B8" s="5">
        <f>B29+B680+B889+B996+B1137+B1244+B1334+B1424+B1497+B1570+B1677+B1750+B1806+B1862+B1901</f>
        <v/>
      </c>
    </row>
    <row r="9">
      <c r="A9" s="6" t="inlineStr">
        <is>
          <t>Стоимость Лида 1</t>
        </is>
      </c>
      <c r="B9" s="9">
        <f>IFERROR(B12/B8,0)</f>
        <v/>
      </c>
    </row>
    <row r="10">
      <c r="A10" s="4" t="inlineStr">
        <is>
          <t>Лиды 2</t>
        </is>
      </c>
      <c r="B10" s="5">
        <f>B31+B682+B891+B998+B1139+B1246+B1336+B1426+B1499+B1572+B1679+B1752+B1808+B1864+B1903</f>
        <v/>
      </c>
    </row>
    <row r="11">
      <c r="A11" s="6" t="inlineStr">
        <is>
          <t>Стоимость Лида 2</t>
        </is>
      </c>
      <c r="B11" s="9">
        <f>IFERROR(B12/B10,0)</f>
        <v/>
      </c>
    </row>
    <row r="12">
      <c r="A12" s="4" t="inlineStr">
        <is>
          <t>Рекламный бюджет</t>
        </is>
      </c>
      <c r="B12" s="10">
        <f>B33+B684+B893+B1000+B1141+B1248+B1338+B1428+B1501+B1574+B1681+B1754+B1810+B1866+B1905</f>
        <v/>
      </c>
    </row>
    <row r="13">
      <c r="A13" s="4" t="inlineStr">
        <is>
          <t>Лиды 3</t>
        </is>
      </c>
      <c r="B13" s="5">
        <f>B34+B685+B894+B1001+B1142+B1249+B1339+B1429+B1502+B1575+B1682+B1755+B1811+B1867+B1906</f>
        <v/>
      </c>
    </row>
    <row r="14">
      <c r="A14" s="6" t="inlineStr">
        <is>
          <t>Стоимость Лида 3</t>
        </is>
      </c>
      <c r="B14" s="9">
        <f>IFERROR(B12/B13,0)</f>
        <v/>
      </c>
    </row>
    <row r="15">
      <c r="A15" s="4" t="inlineStr">
        <is>
          <t>ВП</t>
        </is>
      </c>
      <c r="B15" s="10">
        <f>B36+B687+B896+B1003+B1144+B1251+B1341+B1431+B1504+B1577+B1684+B1757+B1813+B1869+B1908</f>
        <v/>
      </c>
    </row>
    <row r="16">
      <c r="A16" s="4" t="inlineStr">
        <is>
          <t>Продажи</t>
        </is>
      </c>
      <c r="B16" s="5">
        <f>B37+B688+B897+B1004+B1145+B1252+B1342+B1432+B1505+B1578+B1685+B1758+B1814+B1870+B1909</f>
        <v/>
      </c>
    </row>
    <row r="17">
      <c r="A17" s="6" t="inlineStr">
        <is>
          <t>Средний чек</t>
        </is>
      </c>
      <c r="B17" s="9">
        <f>IFERROR(B15/B16,0)</f>
        <v/>
      </c>
    </row>
    <row r="19">
      <c r="A19" s="11" t="inlineStr">
        <is>
          <t>Вывод по сделкам за неделю</t>
        </is>
      </c>
    </row>
    <row r="20" ht="135" customHeight="1">
      <c r="A20" s="12" t="inlineStr">
        <is>
          <t>За неделю создано 28 сделок: 1 сделка на 4 кВт, 2 сделки на 5,5 кВт, 3 сделки на 7,5 кВт, 4 сделки на 11 кВт, 7 сделок на 15 кВт, 2 сделки на 22 кВт, 2 сделки на 30 кВт, 3 сделки на 37 кВт, 1 сделка на 75 кВт, 1 сделка на 110 кВт и в 2 сделках мощность не заполнена. В работе 24 сделки, успешно завершена 1, провалены 3. В сделках в работе: 1 МКС на 30 кВт, 1 МКС без указания мощности, 1 винтовой компрессор на 4 кВт, 2 винтовых компрессора на 5,5 кВт, 2 винтовых компрессора на 7,5 кВт, 2 винтовых компрессора на 11 кВт, 6 винтовых компрессоров на 15 кВт, 1 винтовой компрессор на 22 кВт, 2 винтовых компрессора на 37 кВт, 1 винтовой компрессор на 75 кВт, 1 винтовой компрессор на 110 кВт, 1 воздуходувка на 15 кВт, 1 дизельный компрессор на 30 кВт, 1 дизельный компрессор на 37 кВт и 1 осушитель без указания мощности. Ориентировочная сумма активных сделок — 21,9 млн руб (сумма заполнена у 21 из 24 сделок).</t>
        </is>
      </c>
    </row>
    <row r="22">
      <c r="A22" s="13" t="inlineStr">
        <is>
          <t>PROKOMPRESSOR.RU</t>
        </is>
      </c>
      <c r="B22" s="14" t="n"/>
    </row>
    <row r="23">
      <c r="A23" s="15" t="inlineStr">
        <is>
          <t>Общие</t>
        </is>
      </c>
      <c r="B23" s="16">
        <f>B$1</f>
        <v/>
      </c>
    </row>
    <row r="24">
      <c r="A24" s="4" t="inlineStr">
        <is>
          <t>Показы</t>
        </is>
      </c>
      <c r="B24" s="5">
        <f>B44+B61+B78+B95+B112+B129+B146+B163+B180+B197+B214+B231+B248+B265+B282+B299+B316+B333+B350+B367+B384+B401+B418+B435+B452+B469+B486+B503+B520+B537+B554+B571+B588+B605+B622+B639+B656</f>
        <v/>
      </c>
    </row>
    <row r="25">
      <c r="A25" s="4" t="inlineStr">
        <is>
          <t>Визиты</t>
        </is>
      </c>
      <c r="B25" s="5">
        <f>B45+B62+B79+B96+B113+B130+B147+B164+B181+B198+B215+B232+B249+B266+B283+B300+B317+B334+B351+B368+B385+B402+B419+B436+B453+B470+B487+B504+B521+B538+B555+B572+B589+B606+B623+B640+B657</f>
        <v/>
      </c>
    </row>
    <row r="26">
      <c r="A26" s="6" t="inlineStr">
        <is>
          <t>CTR</t>
        </is>
      </c>
      <c r="B26" s="7">
        <f>IFERROR(B25/B24,0)</f>
        <v/>
      </c>
    </row>
    <row r="27">
      <c r="A27" s="6" t="inlineStr">
        <is>
          <t>CPC</t>
        </is>
      </c>
      <c r="B27" s="8">
        <f>IFERROR(B33/B25,0)</f>
        <v/>
      </c>
    </row>
    <row r="28">
      <c r="A28" s="6" t="inlineStr">
        <is>
          <t>Конверсия в заявку</t>
        </is>
      </c>
      <c r="B28" s="7">
        <f>IFERROR(B29/B25,0)</f>
        <v/>
      </c>
    </row>
    <row r="29">
      <c r="A29" s="4" t="inlineStr">
        <is>
          <t>Лид 1</t>
        </is>
      </c>
      <c r="B29" s="5">
        <f>B49+B66+B83+B100+B117+B134+B151+B168+B185+B202+B219+B236+B253+B270+B287+B304+B321+B338+B355+B372+B389+B406+B423+B440+B457+B474+B491+B508+B525+B542+B559+B576+B593+B610+B627+B644+B661</f>
        <v/>
      </c>
    </row>
    <row r="30">
      <c r="A30" s="6" t="inlineStr">
        <is>
          <t>Стоимость Лида 1</t>
        </is>
      </c>
      <c r="B30" s="9">
        <f>IFERROR(B33/B29,0)</f>
        <v/>
      </c>
    </row>
    <row r="31">
      <c r="A31" s="4" t="inlineStr">
        <is>
          <t>Лиды 2</t>
        </is>
      </c>
      <c r="B31" s="5">
        <f>B51+B68+B85+B102+B119+B136+B153+B170+B187+B204+B221+B238+B255+B272+B289+B306+B323+B340+B357+B374+B391+B408+B425+B442+B459+B476+B493+B510+B527+B544+B561+B578+B595+B612+B629+B646+B663</f>
        <v/>
      </c>
    </row>
    <row r="32">
      <c r="A32" s="6" t="inlineStr">
        <is>
          <t>Стоимость Лида 2</t>
        </is>
      </c>
      <c r="B32" s="9">
        <f>IFERROR(B33/B31,0)</f>
        <v/>
      </c>
    </row>
    <row r="33">
      <c r="A33" s="4" t="inlineStr">
        <is>
          <t>Рекламный бюджет</t>
        </is>
      </c>
      <c r="B33" s="10">
        <f>B53+B70+B87+B104+B121+B138+B155+B172+B189+B206+B223+B240+B257+B274+B291+B308+B325+B342+B359+B376+B393+B410+B427+B444+B461+B478+B495+B512+B529+B546+B563+B580+B597+B614+B631+B648+B665</f>
        <v/>
      </c>
    </row>
    <row r="34">
      <c r="A34" s="4" t="inlineStr">
        <is>
          <t>Лиды 3</t>
        </is>
      </c>
      <c r="B34" s="5">
        <f>B54+B71+B88+B105+B122+B139+B156+B173+B190+B207+B224+B241+B258+B275+B292+B309+B326+B343+B360+B377+B394+B411+B428+B445+B462+B479+B496+B513+B530+B547+B564+B581+B598+B615+B632+B649+B666</f>
        <v/>
      </c>
    </row>
    <row r="35">
      <c r="A35" s="6" t="inlineStr">
        <is>
          <t>Стоимость Лида 3</t>
        </is>
      </c>
      <c r="B35" s="9">
        <f>IFERROR(B33/B34,0)</f>
        <v/>
      </c>
    </row>
    <row r="36">
      <c r="A36" s="4" t="inlineStr">
        <is>
          <t>ВП</t>
        </is>
      </c>
      <c r="B36" s="10">
        <f>B56+B73+B90+B107+B124+B141+B158+B175+B192+B209+B226+B243+B260+B277+B294+B311+B328+B345+B362+B379+B396+B413+B430+B447+B464+B481+B498+B515+B532+B549+B566+B583+B600+B617+B634+B651+B668</f>
        <v/>
      </c>
    </row>
    <row r="37">
      <c r="A37" s="4" t="inlineStr">
        <is>
          <t>Продажи</t>
        </is>
      </c>
      <c r="B37" s="5">
        <f>B57+B74+B91+B108+B125+B142+B159+B176+B193+B210+B227+B244+B261+B278+B295+B312+B329+B346+B363+B380+B397+B414+B431+B448+B465+B482+B499+B516+B533+B550+B567+B584+B601+B618+B635+B652+B669</f>
        <v/>
      </c>
    </row>
    <row r="38">
      <c r="A38" s="6" t="inlineStr">
        <is>
          <t>Средний чек</t>
        </is>
      </c>
      <c r="B38" s="9">
        <f>IFERROR(B36/B37,0)</f>
        <v/>
      </c>
    </row>
    <row r="40">
      <c r="A40" s="11" t="inlineStr">
        <is>
          <t>Вывод по сделкам за неделю</t>
        </is>
      </c>
    </row>
    <row r="41" ht="60" customHeight="1">
      <c r="A41" s="12" t="inlineStr">
        <is>
          <t>За неделю создано 5 сделок: 1 сделка на 11 кВт, 3 сделки на 15 кВт и 1 сделка на 30 кВт. В работе 5 сделок, успешно завершённых нет, проваленных нет. В сделках в работе: 1 винтовой компрессор на 11 кВт, 2 винтовых компрессора на 15 кВт, 1 воздуходувка на 15 кВт и 1 дизельный компрессор на 30 кВт. Ориентировочная сумма активных сделок — 6,9 млн руб.</t>
        </is>
      </c>
    </row>
    <row r="43">
      <c r="A43" s="15" t="inlineStr">
        <is>
          <t>[Поиск] - Горячие запросы общие</t>
        </is>
      </c>
      <c r="B43" s="16">
        <f>B$1</f>
        <v/>
      </c>
    </row>
    <row r="44">
      <c r="A44" s="4" t="inlineStr">
        <is>
          <t>Показы</t>
        </is>
      </c>
      <c r="B44" s="5" t="n">
        <v>5393</v>
      </c>
    </row>
    <row r="45">
      <c r="A45" s="4" t="inlineStr">
        <is>
          <t>Визиты</t>
        </is>
      </c>
      <c r="B45" s="5" t="n">
        <v>240</v>
      </c>
    </row>
    <row r="46">
      <c r="A46" s="6" t="inlineStr">
        <is>
          <t>CTR</t>
        </is>
      </c>
      <c r="B46" s="7">
        <f>IFERROR(B45/B44,0)</f>
        <v/>
      </c>
    </row>
    <row r="47">
      <c r="A47" s="6" t="inlineStr">
        <is>
          <t>CPC</t>
        </is>
      </c>
      <c r="B47" s="8">
        <f>IFERROR(B53/B45,0)</f>
        <v/>
      </c>
    </row>
    <row r="48">
      <c r="A48" s="6" t="inlineStr">
        <is>
          <t>Конверсия в заявку</t>
        </is>
      </c>
      <c r="B48" s="7">
        <f>IFERROR(B49/B45,0)</f>
        <v/>
      </c>
    </row>
    <row r="49">
      <c r="A49" s="4" t="inlineStr">
        <is>
          <t>Лид 1</t>
        </is>
      </c>
      <c r="B49" s="5" t="n">
        <v>7</v>
      </c>
    </row>
    <row r="50">
      <c r="A50" s="6" t="inlineStr">
        <is>
          <t>Стоимость Лида 1</t>
        </is>
      </c>
      <c r="B50" s="9">
        <f>IFERROR(B53/B49,0)</f>
        <v/>
      </c>
    </row>
    <row r="51">
      <c r="A51" s="4" t="inlineStr">
        <is>
          <t>Лиды 2</t>
        </is>
      </c>
      <c r="B51" s="5" t="n">
        <v>5</v>
      </c>
    </row>
    <row r="52">
      <c r="A52" s="6" t="inlineStr">
        <is>
          <t>Стоимость Лида 2</t>
        </is>
      </c>
      <c r="B52" s="9">
        <f>IFERROR(B53/B51,0)</f>
        <v/>
      </c>
    </row>
    <row r="53">
      <c r="A53" s="4" t="inlineStr">
        <is>
          <t>Рекламный бюджет</t>
        </is>
      </c>
      <c r="B53" s="10" t="n">
        <v>108501.8736</v>
      </c>
    </row>
    <row r="54">
      <c r="A54" s="4" t="inlineStr">
        <is>
          <t>Лиды 3</t>
        </is>
      </c>
      <c r="B54" s="5" t="n">
        <v>4</v>
      </c>
    </row>
    <row r="55">
      <c r="A55" s="6" t="inlineStr">
        <is>
          <t>Стоимость Лида 3</t>
        </is>
      </c>
      <c r="B55" s="9">
        <f>IFERROR(B53/B54,0)</f>
        <v/>
      </c>
    </row>
    <row r="56">
      <c r="A56" s="4" t="inlineStr">
        <is>
          <t>ВП</t>
        </is>
      </c>
      <c r="B56" s="10" t="n">
        <v>0</v>
      </c>
    </row>
    <row r="57">
      <c r="A57" s="4" t="inlineStr">
        <is>
          <t>Продажи</t>
        </is>
      </c>
      <c r="B57" s="5" t="n">
        <v>0</v>
      </c>
    </row>
    <row r="58">
      <c r="A58" s="6" t="inlineStr">
        <is>
          <t>Средний чек</t>
        </is>
      </c>
      <c r="B58" s="9">
        <f>IFERROR(B56/B57,0)</f>
        <v/>
      </c>
    </row>
    <row r="60">
      <c r="A60" s="15" t="inlineStr">
        <is>
          <t>[Поиск] Компрессорные станции</t>
        </is>
      </c>
      <c r="B60" s="16">
        <f>B$1</f>
        <v/>
      </c>
    </row>
    <row r="61">
      <c r="A61" s="4" t="inlineStr">
        <is>
          <t>Показы</t>
        </is>
      </c>
      <c r="B61" s="5" t="n">
        <v>1706</v>
      </c>
    </row>
    <row r="62">
      <c r="A62" s="4" t="inlineStr">
        <is>
          <t>Визиты</t>
        </is>
      </c>
      <c r="B62" s="5" t="n">
        <v>74</v>
      </c>
    </row>
    <row r="63">
      <c r="A63" s="6" t="inlineStr">
        <is>
          <t>CTR</t>
        </is>
      </c>
      <c r="B63" s="7">
        <f>IFERROR(B62/B61,0)</f>
        <v/>
      </c>
    </row>
    <row r="64">
      <c r="A64" s="6" t="inlineStr">
        <is>
          <t>CPC</t>
        </is>
      </c>
      <c r="B64" s="8">
        <f>IFERROR(B70/B62,0)</f>
        <v/>
      </c>
    </row>
    <row r="65">
      <c r="A65" s="6" t="inlineStr">
        <is>
          <t>Конверсия в заявку</t>
        </is>
      </c>
      <c r="B65" s="7">
        <f>IFERROR(B66/B62,0)</f>
        <v/>
      </c>
    </row>
    <row r="66">
      <c r="A66" s="4" t="inlineStr">
        <is>
          <t>Лид 1</t>
        </is>
      </c>
      <c r="B66" s="5" t="n">
        <v>0</v>
      </c>
    </row>
    <row r="67">
      <c r="A67" s="6" t="inlineStr">
        <is>
          <t>Стоимость Лида 1</t>
        </is>
      </c>
      <c r="B67" s="9">
        <f>IFERROR(B70/B66,0)</f>
        <v/>
      </c>
    </row>
    <row r="68">
      <c r="A68" s="4" t="inlineStr">
        <is>
          <t>Лиды 2</t>
        </is>
      </c>
      <c r="B68" s="5" t="n">
        <v>0</v>
      </c>
    </row>
    <row r="69">
      <c r="A69" s="6" t="inlineStr">
        <is>
          <t>Стоимость Лида 2</t>
        </is>
      </c>
      <c r="B69" s="9">
        <f>IFERROR(B70/B68,0)</f>
        <v/>
      </c>
    </row>
    <row r="70">
      <c r="A70" s="4" t="inlineStr">
        <is>
          <t>Рекламный бюджет</t>
        </is>
      </c>
      <c r="B70" s="10" t="n">
        <v>36838.8192</v>
      </c>
    </row>
    <row r="71">
      <c r="A71" s="4" t="inlineStr">
        <is>
          <t>Лиды 3</t>
        </is>
      </c>
      <c r="B71" s="5" t="n">
        <v>0</v>
      </c>
    </row>
    <row r="72">
      <c r="A72" s="6" t="inlineStr">
        <is>
          <t>Стоимость Лида 3</t>
        </is>
      </c>
      <c r="B72" s="9">
        <f>IFERROR(B70/B71,0)</f>
        <v/>
      </c>
    </row>
    <row r="73">
      <c r="A73" s="4" t="inlineStr">
        <is>
          <t>ВП</t>
        </is>
      </c>
      <c r="B73" s="10" t="n">
        <v>0</v>
      </c>
    </row>
    <row r="74">
      <c r="A74" s="4" t="inlineStr">
        <is>
          <t>Продажи</t>
        </is>
      </c>
      <c r="B74" s="5" t="n">
        <v>0</v>
      </c>
    </row>
    <row r="75">
      <c r="A75" s="6" t="inlineStr">
        <is>
          <t>Средний чек</t>
        </is>
      </c>
      <c r="B75" s="9">
        <f>IFERROR(B73/B74,0)</f>
        <v/>
      </c>
    </row>
    <row r="77">
      <c r="A77" s="15" t="inlineStr">
        <is>
          <t>[Поиск] Поиск диапазон 346704-450573</t>
        </is>
      </c>
      <c r="B77" s="16">
        <f>B$1</f>
        <v/>
      </c>
    </row>
    <row r="78">
      <c r="A78" s="4" t="inlineStr">
        <is>
          <t>Показы</t>
        </is>
      </c>
      <c r="B78" s="5" t="n">
        <v>107</v>
      </c>
    </row>
    <row r="79">
      <c r="A79" s="4" t="inlineStr">
        <is>
          <t>Визиты</t>
        </is>
      </c>
      <c r="B79" s="5" t="n">
        <v>12</v>
      </c>
    </row>
    <row r="80">
      <c r="A80" s="6" t="inlineStr">
        <is>
          <t>CTR</t>
        </is>
      </c>
      <c r="B80" s="7">
        <f>IFERROR(B79/B78,0)</f>
        <v/>
      </c>
    </row>
    <row r="81">
      <c r="A81" s="6" t="inlineStr">
        <is>
          <t>CPC</t>
        </is>
      </c>
      <c r="B81" s="8">
        <f>IFERROR(B87/B79,0)</f>
        <v/>
      </c>
    </row>
    <row r="82">
      <c r="A82" s="6" t="inlineStr">
        <is>
          <t>Конверсия в заявку</t>
        </is>
      </c>
      <c r="B82" s="7">
        <f>IFERROR(B83/B79,0)</f>
        <v/>
      </c>
    </row>
    <row r="83">
      <c r="A83" s="4" t="inlineStr">
        <is>
          <t>Лид 1</t>
        </is>
      </c>
      <c r="B83" s="5" t="n">
        <v>0</v>
      </c>
    </row>
    <row r="84">
      <c r="A84" s="6" t="inlineStr">
        <is>
          <t>Стоимость Лида 1</t>
        </is>
      </c>
      <c r="B84" s="9">
        <f>IFERROR(B87/B83,0)</f>
        <v/>
      </c>
    </row>
    <row r="85">
      <c r="A85" s="4" t="inlineStr">
        <is>
          <t>Лиды 2</t>
        </is>
      </c>
      <c r="B85" s="5" t="n">
        <v>0</v>
      </c>
    </row>
    <row r="86">
      <c r="A86" s="6" t="inlineStr">
        <is>
          <t>Стоимость Лида 2</t>
        </is>
      </c>
      <c r="B86" s="9">
        <f>IFERROR(B87/B85,0)</f>
        <v/>
      </c>
    </row>
    <row r="87">
      <c r="A87" s="4" t="inlineStr">
        <is>
          <t>Рекламный бюджет</t>
        </is>
      </c>
      <c r="B87" s="10" t="n">
        <v>18637.08</v>
      </c>
    </row>
    <row r="88">
      <c r="A88" s="4" t="inlineStr">
        <is>
          <t>Лиды 3</t>
        </is>
      </c>
      <c r="B88" s="5" t="n">
        <v>0</v>
      </c>
    </row>
    <row r="89">
      <c r="A89" s="6" t="inlineStr">
        <is>
          <t>Стоимость Лида 3</t>
        </is>
      </c>
      <c r="B89" s="9">
        <f>IFERROR(B87/B88,0)</f>
        <v/>
      </c>
    </row>
    <row r="90">
      <c r="A90" s="4" t="inlineStr">
        <is>
          <t>ВП</t>
        </is>
      </c>
      <c r="B90" s="10" t="n">
        <v>0</v>
      </c>
    </row>
    <row r="91">
      <c r="A91" s="4" t="inlineStr">
        <is>
          <t>Продажи</t>
        </is>
      </c>
      <c r="B91" s="5" t="n">
        <v>0</v>
      </c>
    </row>
    <row r="92">
      <c r="A92" s="6" t="inlineStr">
        <is>
          <t>Средний чек</t>
        </is>
      </c>
      <c r="B92" s="9">
        <f>IFERROR(B90/B91,0)</f>
        <v/>
      </c>
    </row>
    <row r="94">
      <c r="A94" s="15" t="inlineStr">
        <is>
          <t>[Поиск] Поиск Berg: модели и серии до 346 407</t>
        </is>
      </c>
      <c r="B94" s="16">
        <f>B$1</f>
        <v/>
      </c>
    </row>
    <row r="95">
      <c r="A95" s="4" t="inlineStr">
        <is>
          <t>Показы</t>
        </is>
      </c>
      <c r="B95" s="5" t="n">
        <v>213</v>
      </c>
    </row>
    <row r="96">
      <c r="A96" s="4" t="inlineStr">
        <is>
          <t>Визиты</t>
        </is>
      </c>
      <c r="B96" s="5" t="n">
        <v>28</v>
      </c>
    </row>
    <row r="97">
      <c r="A97" s="6" t="inlineStr">
        <is>
          <t>CTR</t>
        </is>
      </c>
      <c r="B97" s="7">
        <f>IFERROR(B96/B95,0)</f>
        <v/>
      </c>
    </row>
    <row r="98">
      <c r="A98" s="6" t="inlineStr">
        <is>
          <t>CPC</t>
        </is>
      </c>
      <c r="B98" s="8">
        <f>IFERROR(B104/B96,0)</f>
        <v/>
      </c>
    </row>
    <row r="99">
      <c r="A99" s="6" t="inlineStr">
        <is>
          <t>Конверсия в заявку</t>
        </is>
      </c>
      <c r="B99" s="7">
        <f>IFERROR(B100/B96,0)</f>
        <v/>
      </c>
    </row>
    <row r="100">
      <c r="A100" s="4" t="inlineStr">
        <is>
          <t>Лид 1</t>
        </is>
      </c>
      <c r="B100" s="5" t="n">
        <v>0</v>
      </c>
    </row>
    <row r="101">
      <c r="A101" s="6" t="inlineStr">
        <is>
          <t>Стоимость Лида 1</t>
        </is>
      </c>
      <c r="B101" s="9">
        <f>IFERROR(B104/B100,0)</f>
        <v/>
      </c>
    </row>
    <row r="102">
      <c r="A102" s="4" t="inlineStr">
        <is>
          <t>Лиды 2</t>
        </is>
      </c>
      <c r="B102" s="5" t="n">
        <v>0</v>
      </c>
    </row>
    <row r="103">
      <c r="A103" s="6" t="inlineStr">
        <is>
          <t>Стоимость Лида 2</t>
        </is>
      </c>
      <c r="B103" s="9">
        <f>IFERROR(B104/B102,0)</f>
        <v/>
      </c>
    </row>
    <row r="104">
      <c r="A104" s="4" t="inlineStr">
        <is>
          <t>Рекламный бюджет</t>
        </is>
      </c>
      <c r="B104" s="10" t="n">
        <v>15121.932</v>
      </c>
    </row>
    <row r="105">
      <c r="A105" s="4" t="inlineStr">
        <is>
          <t>Лиды 3</t>
        </is>
      </c>
      <c r="B105" s="5" t="n">
        <v>0</v>
      </c>
    </row>
    <row r="106">
      <c r="A106" s="6" t="inlineStr">
        <is>
          <t>Стоимость Лида 3</t>
        </is>
      </c>
      <c r="B106" s="9">
        <f>IFERROR(B104/B105,0)</f>
        <v/>
      </c>
    </row>
    <row r="107">
      <c r="A107" s="4" t="inlineStr">
        <is>
          <t>ВП</t>
        </is>
      </c>
      <c r="B107" s="10" t="n">
        <v>0</v>
      </c>
    </row>
    <row r="108">
      <c r="A108" s="4" t="inlineStr">
        <is>
          <t>Продажи</t>
        </is>
      </c>
      <c r="B108" s="5" t="n">
        <v>0</v>
      </c>
    </row>
    <row r="109">
      <c r="A109" s="6" t="inlineStr">
        <is>
          <t>Средний чек</t>
        </is>
      </c>
      <c r="B109" s="9">
        <f>IFERROR(B107/B108,0)</f>
        <v/>
      </c>
    </row>
    <row r="111">
      <c r="A111" s="15" t="inlineStr">
        <is>
          <t>[РСЯ] Канал в Макс</t>
        </is>
      </c>
      <c r="B111" s="16">
        <f>B$1</f>
        <v/>
      </c>
    </row>
    <row r="112">
      <c r="A112" s="4" t="inlineStr">
        <is>
          <t>Показы</t>
        </is>
      </c>
      <c r="B112" s="5" t="n">
        <v>215956</v>
      </c>
    </row>
    <row r="113">
      <c r="A113" s="4" t="inlineStr">
        <is>
          <t>Визиты</t>
        </is>
      </c>
      <c r="B113" s="5" t="n">
        <v>10170</v>
      </c>
    </row>
    <row r="114">
      <c r="A114" s="6" t="inlineStr">
        <is>
          <t>CTR</t>
        </is>
      </c>
      <c r="B114" s="7">
        <f>IFERROR(B113/B112,0)</f>
        <v/>
      </c>
    </row>
    <row r="115">
      <c r="A115" s="6" t="inlineStr">
        <is>
          <t>CPC</t>
        </is>
      </c>
      <c r="B115" s="8">
        <f>IFERROR(B121/B113,0)</f>
        <v/>
      </c>
    </row>
    <row r="116">
      <c r="A116" s="6" t="inlineStr">
        <is>
          <t>Конверсия в заявку</t>
        </is>
      </c>
      <c r="B116" s="7">
        <f>IFERROR(B117/B113,0)</f>
        <v/>
      </c>
    </row>
    <row r="117">
      <c r="A117" s="4" t="inlineStr">
        <is>
          <t>Лид 1</t>
        </is>
      </c>
      <c r="B117" s="5" t="n">
        <v>0</v>
      </c>
    </row>
    <row r="118">
      <c r="A118" s="6" t="inlineStr">
        <is>
          <t>Стоимость Лида 1</t>
        </is>
      </c>
      <c r="B118" s="9">
        <f>IFERROR(B121/B117,0)</f>
        <v/>
      </c>
    </row>
    <row r="119">
      <c r="A119" s="4" t="inlineStr">
        <is>
          <t>Лиды 2</t>
        </is>
      </c>
      <c r="B119" s="5" t="n">
        <v>0</v>
      </c>
    </row>
    <row r="120">
      <c r="A120" s="6" t="inlineStr">
        <is>
          <t>Стоимость Лида 2</t>
        </is>
      </c>
      <c r="B120" s="9">
        <f>IFERROR(B121/B119,0)</f>
        <v/>
      </c>
    </row>
    <row r="121">
      <c r="A121" s="4" t="inlineStr">
        <is>
          <t>Рекламный бюджет</t>
        </is>
      </c>
      <c r="B121" s="10" t="n">
        <v>7997.069999999999</v>
      </c>
    </row>
    <row r="122">
      <c r="A122" s="4" t="inlineStr">
        <is>
          <t>Лиды 3</t>
        </is>
      </c>
      <c r="B122" s="5" t="n">
        <v>0</v>
      </c>
    </row>
    <row r="123">
      <c r="A123" s="6" t="inlineStr">
        <is>
          <t>Стоимость Лида 3</t>
        </is>
      </c>
      <c r="B123" s="9">
        <f>IFERROR(B121/B122,0)</f>
        <v/>
      </c>
    </row>
    <row r="124">
      <c r="A124" s="4" t="inlineStr">
        <is>
          <t>ВП</t>
        </is>
      </c>
      <c r="B124" s="10" t="n">
        <v>0</v>
      </c>
    </row>
    <row r="125">
      <c r="A125" s="4" t="inlineStr">
        <is>
          <t>Продажи</t>
        </is>
      </c>
      <c r="B125" s="5" t="n">
        <v>0</v>
      </c>
    </row>
    <row r="126">
      <c r="A126" s="6" t="inlineStr">
        <is>
          <t>Средний чек</t>
        </is>
      </c>
      <c r="B126" s="9">
        <f>IFERROR(B124/B125,0)</f>
        <v/>
      </c>
    </row>
    <row r="128">
      <c r="A128" s="15" t="inlineStr">
        <is>
          <t>[Поиск] Центробежные</t>
        </is>
      </c>
      <c r="B128" s="16">
        <f>B$1</f>
        <v/>
      </c>
    </row>
    <row r="129">
      <c r="A129" s="4" t="inlineStr">
        <is>
          <t>Показы</t>
        </is>
      </c>
      <c r="B129" s="5" t="n">
        <v>641</v>
      </c>
    </row>
    <row r="130">
      <c r="A130" s="4" t="inlineStr">
        <is>
          <t>Визиты</t>
        </is>
      </c>
      <c r="B130" s="5" t="n">
        <v>24</v>
      </c>
    </row>
    <row r="131">
      <c r="A131" s="6" t="inlineStr">
        <is>
          <t>CTR</t>
        </is>
      </c>
      <c r="B131" s="7">
        <f>IFERROR(B130/B129,0)</f>
        <v/>
      </c>
    </row>
    <row r="132">
      <c r="A132" s="6" t="inlineStr">
        <is>
          <t>CPC</t>
        </is>
      </c>
      <c r="B132" s="8">
        <f>IFERROR(B138/B130,0)</f>
        <v/>
      </c>
    </row>
    <row r="133">
      <c r="A133" s="6" t="inlineStr">
        <is>
          <t>Конверсия в заявку</t>
        </is>
      </c>
      <c r="B133" s="7">
        <f>IFERROR(B134/B130,0)</f>
        <v/>
      </c>
    </row>
    <row r="134">
      <c r="A134" s="4" t="inlineStr">
        <is>
          <t>Лид 1</t>
        </is>
      </c>
      <c r="B134" s="5" t="n">
        <v>0</v>
      </c>
    </row>
    <row r="135">
      <c r="A135" s="6" t="inlineStr">
        <is>
          <t>Стоимость Лида 1</t>
        </is>
      </c>
      <c r="B135" s="9">
        <f>IFERROR(B138/B134,0)</f>
        <v/>
      </c>
    </row>
    <row r="136">
      <c r="A136" s="4" t="inlineStr">
        <is>
          <t>Лиды 2</t>
        </is>
      </c>
      <c r="B136" s="5" t="n">
        <v>0</v>
      </c>
    </row>
    <row r="137">
      <c r="A137" s="6" t="inlineStr">
        <is>
          <t>Стоимость Лида 2</t>
        </is>
      </c>
      <c r="B137" s="9">
        <f>IFERROR(B138/B136,0)</f>
        <v/>
      </c>
    </row>
    <row r="138">
      <c r="A138" s="4" t="inlineStr">
        <is>
          <t>Рекламный бюджет</t>
        </is>
      </c>
      <c r="B138" s="10" t="n">
        <v>7721.386800000002</v>
      </c>
    </row>
    <row r="139">
      <c r="A139" s="4" t="inlineStr">
        <is>
          <t>Лиды 3</t>
        </is>
      </c>
      <c r="B139" s="5" t="n">
        <v>0</v>
      </c>
    </row>
    <row r="140">
      <c r="A140" s="6" t="inlineStr">
        <is>
          <t>Стоимость Лида 3</t>
        </is>
      </c>
      <c r="B140" s="9">
        <f>IFERROR(B138/B139,0)</f>
        <v/>
      </c>
    </row>
    <row r="141">
      <c r="A141" s="4" t="inlineStr">
        <is>
          <t>ВП</t>
        </is>
      </c>
      <c r="B141" s="10" t="n">
        <v>0</v>
      </c>
    </row>
    <row r="142">
      <c r="A142" s="4" t="inlineStr">
        <is>
          <t>Продажи</t>
        </is>
      </c>
      <c r="B142" s="5" t="n">
        <v>0</v>
      </c>
    </row>
    <row r="143">
      <c r="A143" s="6" t="inlineStr">
        <is>
          <t>Средний чек</t>
        </is>
      </c>
      <c r="B143" s="9">
        <f>IFERROR(B141/B142,0)</f>
        <v/>
      </c>
    </row>
    <row r="145">
      <c r="A145" s="15" t="inlineStr">
        <is>
          <t>[Поиск] Поиск диапазон 572299-716777</t>
        </is>
      </c>
      <c r="B145" s="16">
        <f>B$1</f>
        <v/>
      </c>
    </row>
    <row r="146">
      <c r="A146" s="4" t="inlineStr">
        <is>
          <t>Показы</t>
        </is>
      </c>
      <c r="B146" s="5" t="n">
        <v>81</v>
      </c>
    </row>
    <row r="147">
      <c r="A147" s="4" t="inlineStr">
        <is>
          <t>Визиты</t>
        </is>
      </c>
      <c r="B147" s="5" t="n">
        <v>10</v>
      </c>
    </row>
    <row r="148">
      <c r="A148" s="6" t="inlineStr">
        <is>
          <t>CTR</t>
        </is>
      </c>
      <c r="B148" s="7">
        <f>IFERROR(B147/B146,0)</f>
        <v/>
      </c>
    </row>
    <row r="149">
      <c r="A149" s="6" t="inlineStr">
        <is>
          <t>CPC</t>
        </is>
      </c>
      <c r="B149" s="8">
        <f>IFERROR(B155/B147,0)</f>
        <v/>
      </c>
    </row>
    <row r="150">
      <c r="A150" s="6" t="inlineStr">
        <is>
          <t>Конверсия в заявку</t>
        </is>
      </c>
      <c r="B150" s="7">
        <f>IFERROR(B151/B147,0)</f>
        <v/>
      </c>
    </row>
    <row r="151">
      <c r="A151" s="4" t="inlineStr">
        <is>
          <t>Лид 1</t>
        </is>
      </c>
      <c r="B151" s="5" t="n">
        <v>0</v>
      </c>
    </row>
    <row r="152">
      <c r="A152" s="6" t="inlineStr">
        <is>
          <t>Стоимость Лида 1</t>
        </is>
      </c>
      <c r="B152" s="9">
        <f>IFERROR(B155/B151,0)</f>
        <v/>
      </c>
    </row>
    <row r="153">
      <c r="A153" s="4" t="inlineStr">
        <is>
          <t>Лиды 2</t>
        </is>
      </c>
      <c r="B153" s="5" t="n">
        <v>0</v>
      </c>
    </row>
    <row r="154">
      <c r="A154" s="6" t="inlineStr">
        <is>
          <t>Стоимость Лида 2</t>
        </is>
      </c>
      <c r="B154" s="9">
        <f>IFERROR(B155/B153,0)</f>
        <v/>
      </c>
    </row>
    <row r="155">
      <c r="A155" s="4" t="inlineStr">
        <is>
          <t>Рекламный бюджет</t>
        </is>
      </c>
      <c r="B155" s="10" t="n">
        <v>7141.726800000001</v>
      </c>
    </row>
    <row r="156">
      <c r="A156" s="4" t="inlineStr">
        <is>
          <t>Лиды 3</t>
        </is>
      </c>
      <c r="B156" s="5" t="n">
        <v>0</v>
      </c>
    </row>
    <row r="157">
      <c r="A157" s="6" t="inlineStr">
        <is>
          <t>Стоимость Лида 3</t>
        </is>
      </c>
      <c r="B157" s="9">
        <f>IFERROR(B155/B156,0)</f>
        <v/>
      </c>
    </row>
    <row r="158">
      <c r="A158" s="4" t="inlineStr">
        <is>
          <t>ВП</t>
        </is>
      </c>
      <c r="B158" s="10" t="n">
        <v>0</v>
      </c>
    </row>
    <row r="159">
      <c r="A159" s="4" t="inlineStr">
        <is>
          <t>Продажи</t>
        </is>
      </c>
      <c r="B159" s="5" t="n">
        <v>0</v>
      </c>
    </row>
    <row r="160">
      <c r="A160" s="6" t="inlineStr">
        <is>
          <t>Средний чек</t>
        </is>
      </c>
      <c r="B160" s="9">
        <f>IFERROR(B158/B159,0)</f>
        <v/>
      </c>
    </row>
    <row r="162">
      <c r="A162" s="15" t="inlineStr">
        <is>
          <t>[Поиск] Поиск диапазон 716777-898000</t>
        </is>
      </c>
      <c r="B162" s="16">
        <f>B$1</f>
        <v/>
      </c>
    </row>
    <row r="163">
      <c r="A163" s="4" t="inlineStr">
        <is>
          <t>Показы</t>
        </is>
      </c>
      <c r="B163" s="5" t="n">
        <v>71</v>
      </c>
    </row>
    <row r="164">
      <c r="A164" s="4" t="inlineStr">
        <is>
          <t>Визиты</t>
        </is>
      </c>
      <c r="B164" s="5" t="n">
        <v>7</v>
      </c>
    </row>
    <row r="165">
      <c r="A165" s="6" t="inlineStr">
        <is>
          <t>CTR</t>
        </is>
      </c>
      <c r="B165" s="7">
        <f>IFERROR(B164/B163,0)</f>
        <v/>
      </c>
    </row>
    <row r="166">
      <c r="A166" s="6" t="inlineStr">
        <is>
          <t>CPC</t>
        </is>
      </c>
      <c r="B166" s="8">
        <f>IFERROR(B172/B164,0)</f>
        <v/>
      </c>
    </row>
    <row r="167">
      <c r="A167" s="6" t="inlineStr">
        <is>
          <t>Конверсия в заявку</t>
        </is>
      </c>
      <c r="B167" s="7">
        <f>IFERROR(B168/B164,0)</f>
        <v/>
      </c>
    </row>
    <row r="168">
      <c r="A168" s="4" t="inlineStr">
        <is>
          <t>Лид 1</t>
        </is>
      </c>
      <c r="B168" s="5" t="n">
        <v>0</v>
      </c>
    </row>
    <row r="169">
      <c r="A169" s="6" t="inlineStr">
        <is>
          <t>Стоимость Лида 1</t>
        </is>
      </c>
      <c r="B169" s="9">
        <f>IFERROR(B172/B168,0)</f>
        <v/>
      </c>
    </row>
    <row r="170">
      <c r="A170" s="4" t="inlineStr">
        <is>
          <t>Лиды 2</t>
        </is>
      </c>
      <c r="B170" s="5" t="n">
        <v>0</v>
      </c>
    </row>
    <row r="171">
      <c r="A171" s="6" t="inlineStr">
        <is>
          <t>Стоимость Лида 2</t>
        </is>
      </c>
      <c r="B171" s="9">
        <f>IFERROR(B172/B170,0)</f>
        <v/>
      </c>
    </row>
    <row r="172">
      <c r="A172" s="4" t="inlineStr">
        <is>
          <t>Рекламный бюджет</t>
        </is>
      </c>
      <c r="B172" s="10" t="n">
        <v>5292.6</v>
      </c>
    </row>
    <row r="173">
      <c r="A173" s="4" t="inlineStr">
        <is>
          <t>Лиды 3</t>
        </is>
      </c>
      <c r="B173" s="5" t="n">
        <v>0</v>
      </c>
    </row>
    <row r="174">
      <c r="A174" s="6" t="inlineStr">
        <is>
          <t>Стоимость Лида 3</t>
        </is>
      </c>
      <c r="B174" s="9">
        <f>IFERROR(B172/B173,0)</f>
        <v/>
      </c>
    </row>
    <row r="175">
      <c r="A175" s="4" t="inlineStr">
        <is>
          <t>ВП</t>
        </is>
      </c>
      <c r="B175" s="10" t="n">
        <v>0</v>
      </c>
    </row>
    <row r="176">
      <c r="A176" s="4" t="inlineStr">
        <is>
          <t>Продажи</t>
        </is>
      </c>
      <c r="B176" s="5" t="n">
        <v>0</v>
      </c>
    </row>
    <row r="177">
      <c r="A177" s="6" t="inlineStr">
        <is>
          <t>Средний чек</t>
        </is>
      </c>
      <c r="B177" s="9">
        <f>IFERROR(B175/B176,0)</f>
        <v/>
      </c>
    </row>
    <row r="179">
      <c r="A179" s="15" t="inlineStr">
        <is>
          <t>[Поиск] Отрасли 16.07.26</t>
        </is>
      </c>
      <c r="B179" s="16">
        <f>B$1</f>
        <v/>
      </c>
    </row>
    <row r="180">
      <c r="A180" s="4" t="inlineStr">
        <is>
          <t>Показы</t>
        </is>
      </c>
      <c r="B180" s="5" t="n">
        <v>412</v>
      </c>
    </row>
    <row r="181">
      <c r="A181" s="4" t="inlineStr">
        <is>
          <t>Визиты</t>
        </is>
      </c>
      <c r="B181" s="5" t="n">
        <v>9</v>
      </c>
    </row>
    <row r="182">
      <c r="A182" s="6" t="inlineStr">
        <is>
          <t>CTR</t>
        </is>
      </c>
      <c r="B182" s="7">
        <f>IFERROR(B181/B180,0)</f>
        <v/>
      </c>
    </row>
    <row r="183">
      <c r="A183" s="6" t="inlineStr">
        <is>
          <t>CPC</t>
        </is>
      </c>
      <c r="B183" s="8">
        <f>IFERROR(B189/B181,0)</f>
        <v/>
      </c>
    </row>
    <row r="184">
      <c r="A184" s="6" t="inlineStr">
        <is>
          <t>Конверсия в заявку</t>
        </is>
      </c>
      <c r="B184" s="7">
        <f>IFERROR(B185/B181,0)</f>
        <v/>
      </c>
    </row>
    <row r="185">
      <c r="A185" s="4" t="inlineStr">
        <is>
          <t>Лид 1</t>
        </is>
      </c>
      <c r="B185" s="5" t="n">
        <v>0</v>
      </c>
    </row>
    <row r="186">
      <c r="A186" s="6" t="inlineStr">
        <is>
          <t>Стоимость Лида 1</t>
        </is>
      </c>
      <c r="B186" s="9">
        <f>IFERROR(B189/B185,0)</f>
        <v/>
      </c>
    </row>
    <row r="187">
      <c r="A187" s="4" t="inlineStr">
        <is>
          <t>Лиды 2</t>
        </is>
      </c>
      <c r="B187" s="5" t="n">
        <v>0</v>
      </c>
    </row>
    <row r="188">
      <c r="A188" s="6" t="inlineStr">
        <is>
          <t>Стоимость Лида 2</t>
        </is>
      </c>
      <c r="B188" s="9">
        <f>IFERROR(B189/B187,0)</f>
        <v/>
      </c>
    </row>
    <row r="189">
      <c r="A189" s="4" t="inlineStr">
        <is>
          <t>Рекламный бюджет</t>
        </is>
      </c>
      <c r="B189" s="10" t="n">
        <v>4265.664</v>
      </c>
    </row>
    <row r="190">
      <c r="A190" s="4" t="inlineStr">
        <is>
          <t>Лиды 3</t>
        </is>
      </c>
      <c r="B190" s="5" t="n">
        <v>0</v>
      </c>
    </row>
    <row r="191">
      <c r="A191" s="6" t="inlineStr">
        <is>
          <t>Стоимость Лида 3</t>
        </is>
      </c>
      <c r="B191" s="9">
        <f>IFERROR(B189/B190,0)</f>
        <v/>
      </c>
    </row>
    <row r="192">
      <c r="A192" s="4" t="inlineStr">
        <is>
          <t>ВП</t>
        </is>
      </c>
      <c r="B192" s="10" t="n">
        <v>0</v>
      </c>
    </row>
    <row r="193">
      <c r="A193" s="4" t="inlineStr">
        <is>
          <t>Продажи</t>
        </is>
      </c>
      <c r="B193" s="5" t="n">
        <v>0</v>
      </c>
    </row>
    <row r="194">
      <c r="A194" s="6" t="inlineStr">
        <is>
          <t>Средний чек</t>
        </is>
      </c>
      <c r="B194" s="9">
        <f>IFERROR(B192/B193,0)</f>
        <v/>
      </c>
    </row>
    <row r="196">
      <c r="A196" s="15" t="inlineStr">
        <is>
          <t>[Поиск] Поиск диапазон 4200142-6672625</t>
        </is>
      </c>
      <c r="B196" s="16">
        <f>B$1</f>
        <v/>
      </c>
    </row>
    <row r="197">
      <c r="A197" s="4" t="inlineStr">
        <is>
          <t>Показы</t>
        </is>
      </c>
      <c r="B197" s="5" t="n">
        <v>70</v>
      </c>
    </row>
    <row r="198">
      <c r="A198" s="4" t="inlineStr">
        <is>
          <t>Визиты</t>
        </is>
      </c>
      <c r="B198" s="5" t="n">
        <v>6</v>
      </c>
    </row>
    <row r="199">
      <c r="A199" s="6" t="inlineStr">
        <is>
          <t>CTR</t>
        </is>
      </c>
      <c r="B199" s="7">
        <f>IFERROR(B198/B197,0)</f>
        <v/>
      </c>
    </row>
    <row r="200">
      <c r="A200" s="6" t="inlineStr">
        <is>
          <t>CPC</t>
        </is>
      </c>
      <c r="B200" s="8">
        <f>IFERROR(B206/B198,0)</f>
        <v/>
      </c>
    </row>
    <row r="201">
      <c r="A201" s="6" t="inlineStr">
        <is>
          <t>Конверсия в заявку</t>
        </is>
      </c>
      <c r="B201" s="7">
        <f>IFERROR(B202/B198,0)</f>
        <v/>
      </c>
    </row>
    <row r="202">
      <c r="A202" s="4" t="inlineStr">
        <is>
          <t>Лид 1</t>
        </is>
      </c>
      <c r="B202" s="5" t="n">
        <v>0</v>
      </c>
    </row>
    <row r="203">
      <c r="A203" s="6" t="inlineStr">
        <is>
          <t>Стоимость Лида 1</t>
        </is>
      </c>
      <c r="B203" s="9">
        <f>IFERROR(B206/B202,0)</f>
        <v/>
      </c>
    </row>
    <row r="204">
      <c r="A204" s="4" t="inlineStr">
        <is>
          <t>Лиды 2</t>
        </is>
      </c>
      <c r="B204" s="5" t="n">
        <v>0</v>
      </c>
    </row>
    <row r="205">
      <c r="A205" s="6" t="inlineStr">
        <is>
          <t>Стоимость Лида 2</t>
        </is>
      </c>
      <c r="B205" s="9">
        <f>IFERROR(B206/B204,0)</f>
        <v/>
      </c>
    </row>
    <row r="206">
      <c r="A206" s="4" t="inlineStr">
        <is>
          <t>Рекламный бюджет</t>
        </is>
      </c>
      <c r="B206" s="10" t="n">
        <v>3432.012</v>
      </c>
    </row>
    <row r="207">
      <c r="A207" s="4" t="inlineStr">
        <is>
          <t>Лиды 3</t>
        </is>
      </c>
      <c r="B207" s="5" t="n">
        <v>0</v>
      </c>
    </row>
    <row r="208">
      <c r="A208" s="6" t="inlineStr">
        <is>
          <t>Стоимость Лида 3</t>
        </is>
      </c>
      <c r="B208" s="9">
        <f>IFERROR(B206/B207,0)</f>
        <v/>
      </c>
    </row>
    <row r="209">
      <c r="A209" s="4" t="inlineStr">
        <is>
          <t>ВП</t>
        </is>
      </c>
      <c r="B209" s="10" t="n">
        <v>0</v>
      </c>
    </row>
    <row r="210">
      <c r="A210" s="4" t="inlineStr">
        <is>
          <t>Продажи</t>
        </is>
      </c>
      <c r="B210" s="5" t="n">
        <v>0</v>
      </c>
    </row>
    <row r="211">
      <c r="A211" s="6" t="inlineStr">
        <is>
          <t>Средний чек</t>
        </is>
      </c>
      <c r="B211" s="9">
        <f>IFERROR(B209/B210,0)</f>
        <v/>
      </c>
    </row>
    <row r="213">
      <c r="A213" s="15" t="inlineStr">
        <is>
          <t>[Поиск] Dali</t>
        </is>
      </c>
      <c r="B213" s="16">
        <f>B$1</f>
        <v/>
      </c>
    </row>
    <row r="214">
      <c r="A214" s="4" t="inlineStr">
        <is>
          <t>Показы</t>
        </is>
      </c>
      <c r="B214" s="5" t="n">
        <v>147</v>
      </c>
    </row>
    <row r="215">
      <c r="A215" s="4" t="inlineStr">
        <is>
          <t>Визиты</t>
        </is>
      </c>
      <c r="B215" s="5" t="n">
        <v>5</v>
      </c>
    </row>
    <row r="216">
      <c r="A216" s="6" t="inlineStr">
        <is>
          <t>CTR</t>
        </is>
      </c>
      <c r="B216" s="7">
        <f>IFERROR(B215/B214,0)</f>
        <v/>
      </c>
    </row>
    <row r="217">
      <c r="A217" s="6" t="inlineStr">
        <is>
          <t>CPC</t>
        </is>
      </c>
      <c r="B217" s="8">
        <f>IFERROR(B223/B215,0)</f>
        <v/>
      </c>
    </row>
    <row r="218">
      <c r="A218" s="6" t="inlineStr">
        <is>
          <t>Конверсия в заявку</t>
        </is>
      </c>
      <c r="B218" s="7">
        <f>IFERROR(B219/B215,0)</f>
        <v/>
      </c>
    </row>
    <row r="219">
      <c r="A219" s="4" t="inlineStr">
        <is>
          <t>Лид 1</t>
        </is>
      </c>
      <c r="B219" s="5" t="n">
        <v>1</v>
      </c>
    </row>
    <row r="220">
      <c r="A220" s="6" t="inlineStr">
        <is>
          <t>Стоимость Лида 1</t>
        </is>
      </c>
      <c r="B220" s="9">
        <f>IFERROR(B223/B219,0)</f>
        <v/>
      </c>
    </row>
    <row r="221">
      <c r="A221" s="4" t="inlineStr">
        <is>
          <t>Лиды 2</t>
        </is>
      </c>
      <c r="B221" s="5" t="n">
        <v>1</v>
      </c>
    </row>
    <row r="222">
      <c r="A222" s="6" t="inlineStr">
        <is>
          <t>Стоимость Лида 2</t>
        </is>
      </c>
      <c r="B222" s="9">
        <f>IFERROR(B223/B221,0)</f>
        <v/>
      </c>
    </row>
    <row r="223">
      <c r="A223" s="4" t="inlineStr">
        <is>
          <t>Рекламный бюджет</t>
        </is>
      </c>
      <c r="B223" s="10" t="n">
        <v>3251.748</v>
      </c>
    </row>
    <row r="224">
      <c r="A224" s="4" t="inlineStr">
        <is>
          <t>Лиды 3</t>
        </is>
      </c>
      <c r="B224" s="5" t="n">
        <v>1</v>
      </c>
    </row>
    <row r="225">
      <c r="A225" s="6" t="inlineStr">
        <is>
          <t>Стоимость Лида 3</t>
        </is>
      </c>
      <c r="B225" s="9">
        <f>IFERROR(B223/B224,0)</f>
        <v/>
      </c>
    </row>
    <row r="226">
      <c r="A226" s="4" t="inlineStr">
        <is>
          <t>ВП</t>
        </is>
      </c>
      <c r="B226" s="10" t="n">
        <v>0</v>
      </c>
    </row>
    <row r="227">
      <c r="A227" s="4" t="inlineStr">
        <is>
          <t>Продажи</t>
        </is>
      </c>
      <c r="B227" s="5" t="n">
        <v>0</v>
      </c>
    </row>
    <row r="228">
      <c r="A228" s="6" t="inlineStr">
        <is>
          <t>Средний чек</t>
        </is>
      </c>
      <c r="B228" s="9">
        <f>IFERROR(B226/B227,0)</f>
        <v/>
      </c>
    </row>
    <row r="230">
      <c r="A230" s="15" t="inlineStr">
        <is>
          <t>[Поиск] Осушители Бренды и модели</t>
        </is>
      </c>
      <c r="B230" s="16">
        <f>B$1</f>
        <v/>
      </c>
    </row>
    <row r="231">
      <c r="A231" s="4" t="inlineStr">
        <is>
          <t>Показы</t>
        </is>
      </c>
      <c r="B231" s="5" t="n">
        <v>99</v>
      </c>
    </row>
    <row r="232">
      <c r="A232" s="4" t="inlineStr">
        <is>
          <t>Визиты</t>
        </is>
      </c>
      <c r="B232" s="5" t="n">
        <v>8</v>
      </c>
    </row>
    <row r="233">
      <c r="A233" s="6" t="inlineStr">
        <is>
          <t>CTR</t>
        </is>
      </c>
      <c r="B233" s="7">
        <f>IFERROR(B232/B231,0)</f>
        <v/>
      </c>
    </row>
    <row r="234">
      <c r="A234" s="6" t="inlineStr">
        <is>
          <t>CPC</t>
        </is>
      </c>
      <c r="B234" s="8">
        <f>IFERROR(B240/B232,0)</f>
        <v/>
      </c>
    </row>
    <row r="235">
      <c r="A235" s="6" t="inlineStr">
        <is>
          <t>Конверсия в заявку</t>
        </is>
      </c>
      <c r="B235" s="7">
        <f>IFERROR(B236/B232,0)</f>
        <v/>
      </c>
    </row>
    <row r="236">
      <c r="A236" s="4" t="inlineStr">
        <is>
          <t>Лид 1</t>
        </is>
      </c>
      <c r="B236" s="5" t="n">
        <v>0</v>
      </c>
    </row>
    <row r="237">
      <c r="A237" s="6" t="inlineStr">
        <is>
          <t>Стоимость Лида 1</t>
        </is>
      </c>
      <c r="B237" s="9">
        <f>IFERROR(B240/B236,0)</f>
        <v/>
      </c>
    </row>
    <row r="238">
      <c r="A238" s="4" t="inlineStr">
        <is>
          <t>Лиды 2</t>
        </is>
      </c>
      <c r="B238" s="5" t="n">
        <v>0</v>
      </c>
    </row>
    <row r="239">
      <c r="A239" s="6" t="inlineStr">
        <is>
          <t>Стоимость Лида 2</t>
        </is>
      </c>
      <c r="B239" s="9">
        <f>IFERROR(B240/B238,0)</f>
        <v/>
      </c>
    </row>
    <row r="240">
      <c r="A240" s="4" t="inlineStr">
        <is>
          <t>Рекламный бюджет</t>
        </is>
      </c>
      <c r="B240" s="10" t="n">
        <v>3180.06</v>
      </c>
    </row>
    <row r="241">
      <c r="A241" s="4" t="inlineStr">
        <is>
          <t>Лиды 3</t>
        </is>
      </c>
      <c r="B241" s="5" t="n">
        <v>0</v>
      </c>
    </row>
    <row r="242">
      <c r="A242" s="6" t="inlineStr">
        <is>
          <t>Стоимость Лида 3</t>
        </is>
      </c>
      <c r="B242" s="9">
        <f>IFERROR(B240/B241,0)</f>
        <v/>
      </c>
    </row>
    <row r="243">
      <c r="A243" s="4" t="inlineStr">
        <is>
          <t>ВП</t>
        </is>
      </c>
      <c r="B243" s="10" t="n">
        <v>0</v>
      </c>
    </row>
    <row r="244">
      <c r="A244" s="4" t="inlineStr">
        <is>
          <t>Продажи</t>
        </is>
      </c>
      <c r="B244" s="5" t="n">
        <v>0</v>
      </c>
    </row>
    <row r="245">
      <c r="A245" s="6" t="inlineStr">
        <is>
          <t>Средний чек</t>
        </is>
      </c>
      <c r="B245" s="9">
        <f>IFERROR(B243/B244,0)</f>
        <v/>
      </c>
    </row>
    <row r="247">
      <c r="A247" s="15" t="inlineStr">
        <is>
          <t>[Осушители] - Номенклатура маркировки - Поиск</t>
        </is>
      </c>
      <c r="B247" s="16">
        <f>B$1</f>
        <v/>
      </c>
    </row>
    <row r="248">
      <c r="A248" s="4" t="inlineStr">
        <is>
          <t>Показы</t>
        </is>
      </c>
      <c r="B248" s="5" t="n">
        <v>169</v>
      </c>
    </row>
    <row r="249">
      <c r="A249" s="4" t="inlineStr">
        <is>
          <t>Визиты</t>
        </is>
      </c>
      <c r="B249" s="5" t="n">
        <v>6</v>
      </c>
    </row>
    <row r="250">
      <c r="A250" s="6" t="inlineStr">
        <is>
          <t>CTR</t>
        </is>
      </c>
      <c r="B250" s="7">
        <f>IFERROR(B249/B248,0)</f>
        <v/>
      </c>
    </row>
    <row r="251">
      <c r="A251" s="6" t="inlineStr">
        <is>
          <t>CPC</t>
        </is>
      </c>
      <c r="B251" s="8">
        <f>IFERROR(B257/B249,0)</f>
        <v/>
      </c>
    </row>
    <row r="252">
      <c r="A252" s="6" t="inlineStr">
        <is>
          <t>Конверсия в заявку</t>
        </is>
      </c>
      <c r="B252" s="7">
        <f>IFERROR(B253/B249,0)</f>
        <v/>
      </c>
    </row>
    <row r="253">
      <c r="A253" s="4" t="inlineStr">
        <is>
          <t>Лид 1</t>
        </is>
      </c>
      <c r="B253" s="5" t="n">
        <v>0</v>
      </c>
    </row>
    <row r="254">
      <c r="A254" s="6" t="inlineStr">
        <is>
          <t>Стоимость Лида 1</t>
        </is>
      </c>
      <c r="B254" s="9">
        <f>IFERROR(B257/B253,0)</f>
        <v/>
      </c>
    </row>
    <row r="255">
      <c r="A255" s="4" t="inlineStr">
        <is>
          <t>Лиды 2</t>
        </is>
      </c>
      <c r="B255" s="5" t="n">
        <v>0</v>
      </c>
    </row>
    <row r="256">
      <c r="A256" s="6" t="inlineStr">
        <is>
          <t>Стоимость Лида 2</t>
        </is>
      </c>
      <c r="B256" s="9">
        <f>IFERROR(B257/B255,0)</f>
        <v/>
      </c>
    </row>
    <row r="257">
      <c r="A257" s="4" t="inlineStr">
        <is>
          <t>Рекламный бюджет</t>
        </is>
      </c>
      <c r="B257" s="10" t="n">
        <v>1870.56</v>
      </c>
    </row>
    <row r="258">
      <c r="A258" s="4" t="inlineStr">
        <is>
          <t>Лиды 3</t>
        </is>
      </c>
      <c r="B258" s="5" t="n">
        <v>0</v>
      </c>
    </row>
    <row r="259">
      <c r="A259" s="6" t="inlineStr">
        <is>
          <t>Стоимость Лида 3</t>
        </is>
      </c>
      <c r="B259" s="9">
        <f>IFERROR(B257/B258,0)</f>
        <v/>
      </c>
    </row>
    <row r="260">
      <c r="A260" s="4" t="inlineStr">
        <is>
          <t>ВП</t>
        </is>
      </c>
      <c r="B260" s="10" t="n">
        <v>0</v>
      </c>
    </row>
    <row r="261">
      <c r="A261" s="4" t="inlineStr">
        <is>
          <t>Продажи</t>
        </is>
      </c>
      <c r="B261" s="5" t="n">
        <v>0</v>
      </c>
    </row>
    <row r="262">
      <c r="A262" s="6" t="inlineStr">
        <is>
          <t>Средний чек</t>
        </is>
      </c>
      <c r="B262" s="9">
        <f>IFERROR(B260/B261,0)</f>
        <v/>
      </c>
    </row>
    <row r="264">
      <c r="A264" s="15" t="inlineStr">
        <is>
          <t>[Поиск] Поиск диапазон 2734724-4200142</t>
        </is>
      </c>
      <c r="B264" s="16">
        <f>B$1</f>
        <v/>
      </c>
    </row>
    <row r="265">
      <c r="A265" s="4" t="inlineStr">
        <is>
          <t>Показы</t>
        </is>
      </c>
      <c r="B265" s="5" t="n">
        <v>104</v>
      </c>
    </row>
    <row r="266">
      <c r="A266" s="4" t="inlineStr">
        <is>
          <t>Визиты</t>
        </is>
      </c>
      <c r="B266" s="5" t="n">
        <v>3</v>
      </c>
    </row>
    <row r="267">
      <c r="A267" s="6" t="inlineStr">
        <is>
          <t>CTR</t>
        </is>
      </c>
      <c r="B267" s="7">
        <f>IFERROR(B266/B265,0)</f>
        <v/>
      </c>
    </row>
    <row r="268">
      <c r="A268" s="6" t="inlineStr">
        <is>
          <t>CPC</t>
        </is>
      </c>
      <c r="B268" s="8">
        <f>IFERROR(B274/B266,0)</f>
        <v/>
      </c>
    </row>
    <row r="269">
      <c r="A269" s="6" t="inlineStr">
        <is>
          <t>Конверсия в заявку</t>
        </is>
      </c>
      <c r="B269" s="7">
        <f>IFERROR(B270/B266,0)</f>
        <v/>
      </c>
    </row>
    <row r="270">
      <c r="A270" s="4" t="inlineStr">
        <is>
          <t>Лид 1</t>
        </is>
      </c>
      <c r="B270" s="5" t="n">
        <v>0</v>
      </c>
    </row>
    <row r="271">
      <c r="A271" s="6" t="inlineStr">
        <is>
          <t>Стоимость Лида 1</t>
        </is>
      </c>
      <c r="B271" s="9">
        <f>IFERROR(B274/B270,0)</f>
        <v/>
      </c>
    </row>
    <row r="272">
      <c r="A272" s="4" t="inlineStr">
        <is>
          <t>Лиды 2</t>
        </is>
      </c>
      <c r="B272" s="5" t="n">
        <v>0</v>
      </c>
    </row>
    <row r="273">
      <c r="A273" s="6" t="inlineStr">
        <is>
          <t>Стоимость Лида 2</t>
        </is>
      </c>
      <c r="B273" s="9">
        <f>IFERROR(B274/B272,0)</f>
        <v/>
      </c>
    </row>
    <row r="274">
      <c r="A274" s="4" t="inlineStr">
        <is>
          <t>Рекламный бюджет</t>
        </is>
      </c>
      <c r="B274" s="10" t="n">
        <v>1223.6388</v>
      </c>
    </row>
    <row r="275">
      <c r="A275" s="4" t="inlineStr">
        <is>
          <t>Лиды 3</t>
        </is>
      </c>
      <c r="B275" s="5" t="n">
        <v>0</v>
      </c>
    </row>
    <row r="276">
      <c r="A276" s="6" t="inlineStr">
        <is>
          <t>Стоимость Лида 3</t>
        </is>
      </c>
      <c r="B276" s="9">
        <f>IFERROR(B274/B275,0)</f>
        <v/>
      </c>
    </row>
    <row r="277">
      <c r="A277" s="4" t="inlineStr">
        <is>
          <t>ВП</t>
        </is>
      </c>
      <c r="B277" s="10" t="n">
        <v>0</v>
      </c>
    </row>
    <row r="278">
      <c r="A278" s="4" t="inlineStr">
        <is>
          <t>Продажи</t>
        </is>
      </c>
      <c r="B278" s="5" t="n">
        <v>0</v>
      </c>
    </row>
    <row r="279">
      <c r="A279" s="6" t="inlineStr">
        <is>
          <t>Средний чек</t>
        </is>
      </c>
      <c r="B279" s="9">
        <f>IFERROR(B277/B278,0)</f>
        <v/>
      </c>
    </row>
    <row r="281">
      <c r="A281" s="15" t="inlineStr">
        <is>
          <t>[РСЯ] РСЯ отрасли</t>
        </is>
      </c>
      <c r="B281" s="16">
        <f>B$1</f>
        <v/>
      </c>
    </row>
    <row r="282">
      <c r="A282" s="4" t="inlineStr">
        <is>
          <t>Показы</t>
        </is>
      </c>
      <c r="B282" s="5" t="n">
        <v>23259</v>
      </c>
    </row>
    <row r="283">
      <c r="A283" s="4" t="inlineStr">
        <is>
          <t>Визиты</t>
        </is>
      </c>
      <c r="B283" s="5" t="n">
        <v>183</v>
      </c>
    </row>
    <row r="284">
      <c r="A284" s="6" t="inlineStr">
        <is>
          <t>CTR</t>
        </is>
      </c>
      <c r="B284" s="7">
        <f>IFERROR(B283/B282,0)</f>
        <v/>
      </c>
    </row>
    <row r="285">
      <c r="A285" s="6" t="inlineStr">
        <is>
          <t>CPC</t>
        </is>
      </c>
      <c r="B285" s="8">
        <f>IFERROR(B291/B283,0)</f>
        <v/>
      </c>
    </row>
    <row r="286">
      <c r="A286" s="6" t="inlineStr">
        <is>
          <t>Конверсия в заявку</t>
        </is>
      </c>
      <c r="B286" s="7">
        <f>IFERROR(B287/B283,0)</f>
        <v/>
      </c>
    </row>
    <row r="287">
      <c r="A287" s="4" t="inlineStr">
        <is>
          <t>Лид 1</t>
        </is>
      </c>
      <c r="B287" s="5" t="n">
        <v>0</v>
      </c>
    </row>
    <row r="288">
      <c r="A288" s="6" t="inlineStr">
        <is>
          <t>Стоимость Лида 1</t>
        </is>
      </c>
      <c r="B288" s="9">
        <f>IFERROR(B291/B287,0)</f>
        <v/>
      </c>
    </row>
    <row r="289">
      <c r="A289" s="4" t="inlineStr">
        <is>
          <t>Лиды 2</t>
        </is>
      </c>
      <c r="B289" s="5" t="n">
        <v>0</v>
      </c>
    </row>
    <row r="290">
      <c r="A290" s="6" t="inlineStr">
        <is>
          <t>Стоимость Лида 2</t>
        </is>
      </c>
      <c r="B290" s="9">
        <f>IFERROR(B291/B289,0)</f>
        <v/>
      </c>
    </row>
    <row r="291">
      <c r="A291" s="4" t="inlineStr">
        <is>
          <t>Рекламный бюджет</t>
        </is>
      </c>
      <c r="B291" s="10" t="n">
        <v>1149.0636</v>
      </c>
    </row>
    <row r="292">
      <c r="A292" s="4" t="inlineStr">
        <is>
          <t>Лиды 3</t>
        </is>
      </c>
      <c r="B292" s="5" t="n">
        <v>0</v>
      </c>
    </row>
    <row r="293">
      <c r="A293" s="6" t="inlineStr">
        <is>
          <t>Стоимость Лида 3</t>
        </is>
      </c>
      <c r="B293" s="9">
        <f>IFERROR(B291/B292,0)</f>
        <v/>
      </c>
    </row>
    <row r="294">
      <c r="A294" s="4" t="inlineStr">
        <is>
          <t>ВП</t>
        </is>
      </c>
      <c r="B294" s="10" t="n">
        <v>0</v>
      </c>
    </row>
    <row r="295">
      <c r="A295" s="4" t="inlineStr">
        <is>
          <t>Продажи</t>
        </is>
      </c>
      <c r="B295" s="5" t="n">
        <v>0</v>
      </c>
    </row>
    <row r="296">
      <c r="A296" s="6" t="inlineStr">
        <is>
          <t>Средний чек</t>
        </is>
      </c>
      <c r="B296" s="9">
        <f>IFERROR(B294/B295,0)</f>
        <v/>
      </c>
    </row>
    <row r="298">
      <c r="A298" s="15" t="inlineStr">
        <is>
          <t>[Поиск] Поиск диапазон 1947830-2734194</t>
        </is>
      </c>
      <c r="B298" s="16">
        <f>B$1</f>
        <v/>
      </c>
    </row>
    <row r="299">
      <c r="A299" s="4" t="inlineStr">
        <is>
          <t>Показы</t>
        </is>
      </c>
      <c r="B299" s="5" t="n">
        <v>31</v>
      </c>
    </row>
    <row r="300">
      <c r="A300" s="4" t="inlineStr">
        <is>
          <t>Визиты</t>
        </is>
      </c>
      <c r="B300" s="5" t="n">
        <v>1</v>
      </c>
    </row>
    <row r="301">
      <c r="A301" s="6" t="inlineStr">
        <is>
          <t>CTR</t>
        </is>
      </c>
      <c r="B301" s="7">
        <f>IFERROR(B300/B299,0)</f>
        <v/>
      </c>
    </row>
    <row r="302">
      <c r="A302" s="6" t="inlineStr">
        <is>
          <t>CPC</t>
        </is>
      </c>
      <c r="B302" s="8">
        <f>IFERROR(B308/B300,0)</f>
        <v/>
      </c>
    </row>
    <row r="303">
      <c r="A303" s="6" t="inlineStr">
        <is>
          <t>Конверсия в заявку</t>
        </is>
      </c>
      <c r="B303" s="7">
        <f>IFERROR(B304/B300,0)</f>
        <v/>
      </c>
    </row>
    <row r="304">
      <c r="A304" s="4" t="inlineStr">
        <is>
          <t>Лид 1</t>
        </is>
      </c>
      <c r="B304" s="5" t="n">
        <v>0</v>
      </c>
    </row>
    <row r="305">
      <c r="A305" s="6" t="inlineStr">
        <is>
          <t>Стоимость Лида 1</t>
        </is>
      </c>
      <c r="B305" s="9">
        <f>IFERROR(B308/B304,0)</f>
        <v/>
      </c>
    </row>
    <row r="306">
      <c r="A306" s="4" t="inlineStr">
        <is>
          <t>Лиды 2</t>
        </is>
      </c>
      <c r="B306" s="5" t="n">
        <v>0</v>
      </c>
    </row>
    <row r="307">
      <c r="A307" s="6" t="inlineStr">
        <is>
          <t>Стоимость Лида 2</t>
        </is>
      </c>
      <c r="B307" s="9">
        <f>IFERROR(B308/B306,0)</f>
        <v/>
      </c>
    </row>
    <row r="308">
      <c r="A308" s="4" t="inlineStr">
        <is>
          <t>Рекламный бюджет</t>
        </is>
      </c>
      <c r="B308" s="10" t="n">
        <v>951.948</v>
      </c>
    </row>
    <row r="309">
      <c r="A309" s="4" t="inlineStr">
        <is>
          <t>Лиды 3</t>
        </is>
      </c>
      <c r="B309" s="5" t="n">
        <v>0</v>
      </c>
    </row>
    <row r="310">
      <c r="A310" s="6" t="inlineStr">
        <is>
          <t>Стоимость Лида 3</t>
        </is>
      </c>
      <c r="B310" s="9">
        <f>IFERROR(B308/B309,0)</f>
        <v/>
      </c>
    </row>
    <row r="311">
      <c r="A311" s="4" t="inlineStr">
        <is>
          <t>ВП</t>
        </is>
      </c>
      <c r="B311" s="10" t="n">
        <v>0</v>
      </c>
    </row>
    <row r="312">
      <c r="A312" s="4" t="inlineStr">
        <is>
          <t>Продажи</t>
        </is>
      </c>
      <c r="B312" s="5" t="n">
        <v>0</v>
      </c>
    </row>
    <row r="313">
      <c r="A313" s="6" t="inlineStr">
        <is>
          <t>Средний чек</t>
        </is>
      </c>
      <c r="B313" s="9">
        <f>IFERROR(B311/B312,0)</f>
        <v/>
      </c>
    </row>
    <row r="315">
      <c r="A315" s="15" t="inlineStr">
        <is>
          <t>[Поиск] Поиск диапазон 450573-572299</t>
        </is>
      </c>
      <c r="B315" s="16">
        <f>B$1</f>
        <v/>
      </c>
    </row>
    <row r="316">
      <c r="A316" s="4" t="inlineStr">
        <is>
          <t>Показы</t>
        </is>
      </c>
      <c r="B316" s="5" t="n">
        <v>78</v>
      </c>
    </row>
    <row r="317">
      <c r="A317" s="4" t="inlineStr">
        <is>
          <t>Визиты</t>
        </is>
      </c>
      <c r="B317" s="5" t="n">
        <v>2</v>
      </c>
    </row>
    <row r="318">
      <c r="A318" s="6" t="inlineStr">
        <is>
          <t>CTR</t>
        </is>
      </c>
      <c r="B318" s="7">
        <f>IFERROR(B317/B316,0)</f>
        <v/>
      </c>
    </row>
    <row r="319">
      <c r="A319" s="6" t="inlineStr">
        <is>
          <t>CPC</t>
        </is>
      </c>
      <c r="B319" s="8">
        <f>IFERROR(B325/B317,0)</f>
        <v/>
      </c>
    </row>
    <row r="320">
      <c r="A320" s="6" t="inlineStr">
        <is>
          <t>Конверсия в заявку</t>
        </is>
      </c>
      <c r="B320" s="7">
        <f>IFERROR(B321/B317,0)</f>
        <v/>
      </c>
    </row>
    <row r="321">
      <c r="A321" s="4" t="inlineStr">
        <is>
          <t>Лид 1</t>
        </is>
      </c>
      <c r="B321" s="5" t="n">
        <v>0</v>
      </c>
    </row>
    <row r="322">
      <c r="A322" s="6" t="inlineStr">
        <is>
          <t>Стоимость Лида 1</t>
        </is>
      </c>
      <c r="B322" s="9">
        <f>IFERROR(B325/B321,0)</f>
        <v/>
      </c>
    </row>
    <row r="323">
      <c r="A323" s="4" t="inlineStr">
        <is>
          <t>Лиды 2</t>
        </is>
      </c>
      <c r="B323" s="5" t="n">
        <v>0</v>
      </c>
    </row>
    <row r="324">
      <c r="A324" s="6" t="inlineStr">
        <is>
          <t>Стоимость Лида 2</t>
        </is>
      </c>
      <c r="B324" s="9">
        <f>IFERROR(B325/B323,0)</f>
        <v/>
      </c>
    </row>
    <row r="325">
      <c r="A325" s="4" t="inlineStr">
        <is>
          <t>Рекламный бюджет</t>
        </is>
      </c>
      <c r="B325" s="10" t="n">
        <v>933.336</v>
      </c>
    </row>
    <row r="326">
      <c r="A326" s="4" t="inlineStr">
        <is>
          <t>Лиды 3</t>
        </is>
      </c>
      <c r="B326" s="5" t="n">
        <v>0</v>
      </c>
    </row>
    <row r="327">
      <c r="A327" s="6" t="inlineStr">
        <is>
          <t>Стоимость Лида 3</t>
        </is>
      </c>
      <c r="B327" s="9">
        <f>IFERROR(B325/B326,0)</f>
        <v/>
      </c>
    </row>
    <row r="328">
      <c r="A328" s="4" t="inlineStr">
        <is>
          <t>ВП</t>
        </is>
      </c>
      <c r="B328" s="10" t="n">
        <v>0</v>
      </c>
    </row>
    <row r="329">
      <c r="A329" s="4" t="inlineStr">
        <is>
          <t>Продажи</t>
        </is>
      </c>
      <c r="B329" s="5" t="n">
        <v>0</v>
      </c>
    </row>
    <row r="330">
      <c r="A330" s="6" t="inlineStr">
        <is>
          <t>Средний чек</t>
        </is>
      </c>
      <c r="B330" s="9">
        <f>IFERROR(B328/B329,0)</f>
        <v/>
      </c>
    </row>
    <row r="332">
      <c r="A332" s="15" t="inlineStr">
        <is>
          <t>[Поиск] Поиск диапазон 13477435-150973028</t>
        </is>
      </c>
      <c r="B332" s="16">
        <f>B$1</f>
        <v/>
      </c>
    </row>
    <row r="333">
      <c r="A333" s="4" t="inlineStr">
        <is>
          <t>Показы</t>
        </is>
      </c>
      <c r="B333" s="5" t="n">
        <v>3</v>
      </c>
    </row>
    <row r="334">
      <c r="A334" s="4" t="inlineStr">
        <is>
          <t>Визиты</t>
        </is>
      </c>
      <c r="B334" s="5" t="n">
        <v>1</v>
      </c>
    </row>
    <row r="335">
      <c r="A335" s="6" t="inlineStr">
        <is>
          <t>CTR</t>
        </is>
      </c>
      <c r="B335" s="7">
        <f>IFERROR(B334/B333,0)</f>
        <v/>
      </c>
    </row>
    <row r="336">
      <c r="A336" s="6" t="inlineStr">
        <is>
          <t>CPC</t>
        </is>
      </c>
      <c r="B336" s="8">
        <f>IFERROR(B342/B334,0)</f>
        <v/>
      </c>
    </row>
    <row r="337">
      <c r="A337" s="6" t="inlineStr">
        <is>
          <t>Конверсия в заявку</t>
        </is>
      </c>
      <c r="B337" s="7">
        <f>IFERROR(B338/B334,0)</f>
        <v/>
      </c>
    </row>
    <row r="338">
      <c r="A338" s="4" t="inlineStr">
        <is>
          <t>Лид 1</t>
        </is>
      </c>
      <c r="B338" s="5" t="n">
        <v>0</v>
      </c>
    </row>
    <row r="339">
      <c r="A339" s="6" t="inlineStr">
        <is>
          <t>Стоимость Лида 1</t>
        </is>
      </c>
      <c r="B339" s="9">
        <f>IFERROR(B342/B338,0)</f>
        <v/>
      </c>
    </row>
    <row r="340">
      <c r="A340" s="4" t="inlineStr">
        <is>
          <t>Лиды 2</t>
        </is>
      </c>
      <c r="B340" s="5" t="n">
        <v>0</v>
      </c>
    </row>
    <row r="341">
      <c r="A341" s="6" t="inlineStr">
        <is>
          <t>Стоимость Лида 2</t>
        </is>
      </c>
      <c r="B341" s="9">
        <f>IFERROR(B342/B340,0)</f>
        <v/>
      </c>
    </row>
    <row r="342">
      <c r="A342" s="4" t="inlineStr">
        <is>
          <t>Рекламный бюджет</t>
        </is>
      </c>
      <c r="B342" s="10" t="n">
        <v>853.6079999999999</v>
      </c>
    </row>
    <row r="343">
      <c r="A343" s="4" t="inlineStr">
        <is>
          <t>Лиды 3</t>
        </is>
      </c>
      <c r="B343" s="5" t="n">
        <v>0</v>
      </c>
    </row>
    <row r="344">
      <c r="A344" s="6" t="inlineStr">
        <is>
          <t>Стоимость Лида 3</t>
        </is>
      </c>
      <c r="B344" s="9">
        <f>IFERROR(B342/B343,0)</f>
        <v/>
      </c>
    </row>
    <row r="345">
      <c r="A345" s="4" t="inlineStr">
        <is>
          <t>ВП</t>
        </is>
      </c>
      <c r="B345" s="10" t="n">
        <v>0</v>
      </c>
    </row>
    <row r="346">
      <c r="A346" s="4" t="inlineStr">
        <is>
          <t>Продажи</t>
        </is>
      </c>
      <c r="B346" s="5" t="n">
        <v>0</v>
      </c>
    </row>
    <row r="347">
      <c r="A347" s="6" t="inlineStr">
        <is>
          <t>Средний чек</t>
        </is>
      </c>
      <c r="B347" s="9">
        <f>IFERROR(B345/B346,0)</f>
        <v/>
      </c>
    </row>
    <row r="349">
      <c r="A349" s="15" t="inlineStr">
        <is>
          <t>[Поиск] Поиск диапазон 1480728-1947526</t>
        </is>
      </c>
      <c r="B349" s="16">
        <f>B$1</f>
        <v/>
      </c>
    </row>
    <row r="350">
      <c r="A350" s="4" t="inlineStr">
        <is>
          <t>Показы</t>
        </is>
      </c>
      <c r="B350" s="5" t="n">
        <v>16</v>
      </c>
    </row>
    <row r="351">
      <c r="A351" s="4" t="inlineStr">
        <is>
          <t>Визиты</t>
        </is>
      </c>
      <c r="B351" s="5" t="n">
        <v>1</v>
      </c>
    </row>
    <row r="352">
      <c r="A352" s="6" t="inlineStr">
        <is>
          <t>CTR</t>
        </is>
      </c>
      <c r="B352" s="7">
        <f>IFERROR(B351/B350,0)</f>
        <v/>
      </c>
    </row>
    <row r="353">
      <c r="A353" s="6" t="inlineStr">
        <is>
          <t>CPC</t>
        </is>
      </c>
      <c r="B353" s="8">
        <f>IFERROR(B359/B351,0)</f>
        <v/>
      </c>
    </row>
    <row r="354">
      <c r="A354" s="6" t="inlineStr">
        <is>
          <t>Конверсия в заявку</t>
        </is>
      </c>
      <c r="B354" s="7">
        <f>IFERROR(B355/B351,0)</f>
        <v/>
      </c>
    </row>
    <row r="355">
      <c r="A355" s="4" t="inlineStr">
        <is>
          <t>Лид 1</t>
        </is>
      </c>
      <c r="B355" s="5" t="n">
        <v>0</v>
      </c>
    </row>
    <row r="356">
      <c r="A356" s="6" t="inlineStr">
        <is>
          <t>Стоимость Лида 1</t>
        </is>
      </c>
      <c r="B356" s="9">
        <f>IFERROR(B359/B355,0)</f>
        <v/>
      </c>
    </row>
    <row r="357">
      <c r="A357" s="4" t="inlineStr">
        <is>
          <t>Лиды 2</t>
        </is>
      </c>
      <c r="B357" s="5" t="n">
        <v>0</v>
      </c>
    </row>
    <row r="358">
      <c r="A358" s="6" t="inlineStr">
        <is>
          <t>Стоимость Лида 2</t>
        </is>
      </c>
      <c r="B358" s="9">
        <f>IFERROR(B359/B357,0)</f>
        <v/>
      </c>
    </row>
    <row r="359">
      <c r="A359" s="4" t="inlineStr">
        <is>
          <t>Рекламный бюджет</t>
        </is>
      </c>
      <c r="B359" s="10" t="n">
        <v>409.716</v>
      </c>
    </row>
    <row r="360">
      <c r="A360" s="4" t="inlineStr">
        <is>
          <t>Лиды 3</t>
        </is>
      </c>
      <c r="B360" s="5" t="n">
        <v>0</v>
      </c>
    </row>
    <row r="361">
      <c r="A361" s="6" t="inlineStr">
        <is>
          <t>Стоимость Лида 3</t>
        </is>
      </c>
      <c r="B361" s="9">
        <f>IFERROR(B359/B360,0)</f>
        <v/>
      </c>
    </row>
    <row r="362">
      <c r="A362" s="4" t="inlineStr">
        <is>
          <t>ВП</t>
        </is>
      </c>
      <c r="B362" s="10" t="n">
        <v>0</v>
      </c>
    </row>
    <row r="363">
      <c r="A363" s="4" t="inlineStr">
        <is>
          <t>Продажи</t>
        </is>
      </c>
      <c r="B363" s="5" t="n">
        <v>0</v>
      </c>
    </row>
    <row r="364">
      <c r="A364" s="6" t="inlineStr">
        <is>
          <t>Средний чек</t>
        </is>
      </c>
      <c r="B364" s="9">
        <f>IFERROR(B362/B363,0)</f>
        <v/>
      </c>
    </row>
    <row r="366">
      <c r="A366" s="15" t="inlineStr">
        <is>
          <t>[Поиск] Поиск Cross Air модели и серии</t>
        </is>
      </c>
      <c r="B366" s="16">
        <f>B$1</f>
        <v/>
      </c>
    </row>
    <row r="367">
      <c r="A367" s="4" t="inlineStr">
        <is>
          <t>Показы</t>
        </is>
      </c>
      <c r="B367" s="5" t="n">
        <v>14</v>
      </c>
    </row>
    <row r="368">
      <c r="A368" s="4" t="inlineStr">
        <is>
          <t>Визиты</t>
        </is>
      </c>
      <c r="B368" s="5" t="n">
        <v>1</v>
      </c>
    </row>
    <row r="369">
      <c r="A369" s="6" t="inlineStr">
        <is>
          <t>CTR</t>
        </is>
      </c>
      <c r="B369" s="7">
        <f>IFERROR(B368/B367,0)</f>
        <v/>
      </c>
    </row>
    <row r="370">
      <c r="A370" s="6" t="inlineStr">
        <is>
          <t>CPC</t>
        </is>
      </c>
      <c r="B370" s="8">
        <f>IFERROR(B376/B368,0)</f>
        <v/>
      </c>
    </row>
    <row r="371">
      <c r="A371" s="6" t="inlineStr">
        <is>
          <t>Конверсия в заявку</t>
        </is>
      </c>
      <c r="B371" s="7">
        <f>IFERROR(B372/B368,0)</f>
        <v/>
      </c>
    </row>
    <row r="372">
      <c r="A372" s="4" t="inlineStr">
        <is>
          <t>Лид 1</t>
        </is>
      </c>
      <c r="B372" s="5" t="n">
        <v>0</v>
      </c>
    </row>
    <row r="373">
      <c r="A373" s="6" t="inlineStr">
        <is>
          <t>Стоимость Лида 1</t>
        </is>
      </c>
      <c r="B373" s="9">
        <f>IFERROR(B376/B372,0)</f>
        <v/>
      </c>
    </row>
    <row r="374">
      <c r="A374" s="4" t="inlineStr">
        <is>
          <t>Лиды 2</t>
        </is>
      </c>
      <c r="B374" s="5" t="n">
        <v>0</v>
      </c>
    </row>
    <row r="375">
      <c r="A375" s="6" t="inlineStr">
        <is>
          <t>Стоимость Лида 2</t>
        </is>
      </c>
      <c r="B375" s="9">
        <f>IFERROR(B376/B374,0)</f>
        <v/>
      </c>
    </row>
    <row r="376">
      <c r="A376" s="4" t="inlineStr">
        <is>
          <t>Рекламный бюджет</t>
        </is>
      </c>
      <c r="B376" s="10" t="n">
        <v>234.468</v>
      </c>
    </row>
    <row r="377">
      <c r="A377" s="4" t="inlineStr">
        <is>
          <t>Лиды 3</t>
        </is>
      </c>
      <c r="B377" s="5" t="n">
        <v>0</v>
      </c>
    </row>
    <row r="378">
      <c r="A378" s="6" t="inlineStr">
        <is>
          <t>Стоимость Лида 3</t>
        </is>
      </c>
      <c r="B378" s="9">
        <f>IFERROR(B376/B377,0)</f>
        <v/>
      </c>
    </row>
    <row r="379">
      <c r="A379" s="4" t="inlineStr">
        <is>
          <t>ВП</t>
        </is>
      </c>
      <c r="B379" s="10" t="n">
        <v>0</v>
      </c>
    </row>
    <row r="380">
      <c r="A380" s="4" t="inlineStr">
        <is>
          <t>Продажи</t>
        </is>
      </c>
      <c r="B380" s="5" t="n">
        <v>0</v>
      </c>
    </row>
    <row r="381">
      <c r="A381" s="6" t="inlineStr">
        <is>
          <t>Средний чек</t>
        </is>
      </c>
      <c r="B381" s="9">
        <f>IFERROR(B379/B380,0)</f>
        <v/>
      </c>
    </row>
    <row r="383">
      <c r="A383" s="15" t="inlineStr">
        <is>
          <t>[Поиск] Поиск диапазон 1125858-1480728</t>
        </is>
      </c>
      <c r="B383" s="16">
        <f>B$1</f>
        <v/>
      </c>
    </row>
    <row r="384">
      <c r="A384" s="4" t="inlineStr">
        <is>
          <t>Показы</t>
        </is>
      </c>
      <c r="B384" s="5" t="n">
        <v>52</v>
      </c>
    </row>
    <row r="385">
      <c r="A385" s="4" t="inlineStr">
        <is>
          <t>Визиты</t>
        </is>
      </c>
      <c r="B385" s="5" t="n">
        <v>2</v>
      </c>
    </row>
    <row r="386">
      <c r="A386" s="6" t="inlineStr">
        <is>
          <t>CTR</t>
        </is>
      </c>
      <c r="B386" s="7">
        <f>IFERROR(B385/B384,0)</f>
        <v/>
      </c>
    </row>
    <row r="387">
      <c r="A387" s="6" t="inlineStr">
        <is>
          <t>CPC</t>
        </is>
      </c>
      <c r="B387" s="8">
        <f>IFERROR(B393/B385,0)</f>
        <v/>
      </c>
    </row>
    <row r="388">
      <c r="A388" s="6" t="inlineStr">
        <is>
          <t>Конверсия в заявку</t>
        </is>
      </c>
      <c r="B388" s="7">
        <f>IFERROR(B389/B385,0)</f>
        <v/>
      </c>
    </row>
    <row r="389">
      <c r="A389" s="4" t="inlineStr">
        <is>
          <t>Лид 1</t>
        </is>
      </c>
      <c r="B389" s="5" t="n">
        <v>0</v>
      </c>
    </row>
    <row r="390">
      <c r="A390" s="6" t="inlineStr">
        <is>
          <t>Стоимость Лида 1</t>
        </is>
      </c>
      <c r="B390" s="9">
        <f>IFERROR(B393/B389,0)</f>
        <v/>
      </c>
    </row>
    <row r="391">
      <c r="A391" s="4" t="inlineStr">
        <is>
          <t>Лиды 2</t>
        </is>
      </c>
      <c r="B391" s="5" t="n">
        <v>0</v>
      </c>
    </row>
    <row r="392">
      <c r="A392" s="6" t="inlineStr">
        <is>
          <t>Стоимость Лида 2</t>
        </is>
      </c>
      <c r="B392" s="9">
        <f>IFERROR(B393/B391,0)</f>
        <v/>
      </c>
    </row>
    <row r="393">
      <c r="A393" s="4" t="inlineStr">
        <is>
          <t>Рекламный бюджет</t>
        </is>
      </c>
      <c r="B393" s="10" t="n">
        <v>203.34</v>
      </c>
    </row>
    <row r="394">
      <c r="A394" s="4" t="inlineStr">
        <is>
          <t>Лиды 3</t>
        </is>
      </c>
      <c r="B394" s="5" t="n">
        <v>0</v>
      </c>
    </row>
    <row r="395">
      <c r="A395" s="6" t="inlineStr">
        <is>
          <t>Стоимость Лида 3</t>
        </is>
      </c>
      <c r="B395" s="9">
        <f>IFERROR(B393/B394,0)</f>
        <v/>
      </c>
    </row>
    <row r="396">
      <c r="A396" s="4" t="inlineStr">
        <is>
          <t>ВП</t>
        </is>
      </c>
      <c r="B396" s="10" t="n">
        <v>0</v>
      </c>
    </row>
    <row r="397">
      <c r="A397" s="4" t="inlineStr">
        <is>
          <t>Продажи</t>
        </is>
      </c>
      <c r="B397" s="5" t="n">
        <v>0</v>
      </c>
    </row>
    <row r="398">
      <c r="A398" s="6" t="inlineStr">
        <is>
          <t>Средний чек</t>
        </is>
      </c>
      <c r="B398" s="9">
        <f>IFERROR(B396/B397,0)</f>
        <v/>
      </c>
    </row>
    <row r="400">
      <c r="A400" s="15" t="inlineStr">
        <is>
          <t>[РСЯ] РСЯ на базы 07.08.2026</t>
        </is>
      </c>
      <c r="B400" s="16">
        <f>B$1</f>
        <v/>
      </c>
    </row>
    <row r="401">
      <c r="A401" s="4" t="inlineStr">
        <is>
          <t>Показы</t>
        </is>
      </c>
      <c r="B401" s="5" t="n">
        <v>2236</v>
      </c>
    </row>
    <row r="402">
      <c r="A402" s="4" t="inlineStr">
        <is>
          <t>Визиты</t>
        </is>
      </c>
      <c r="B402" s="5" t="n">
        <v>59</v>
      </c>
    </row>
    <row r="403">
      <c r="A403" s="6" t="inlineStr">
        <is>
          <t>CTR</t>
        </is>
      </c>
      <c r="B403" s="7">
        <f>IFERROR(B402/B401,0)</f>
        <v/>
      </c>
    </row>
    <row r="404">
      <c r="A404" s="6" t="inlineStr">
        <is>
          <t>CPC</t>
        </is>
      </c>
      <c r="B404" s="8">
        <f>IFERROR(B410/B402,0)</f>
        <v/>
      </c>
    </row>
    <row r="405">
      <c r="A405" s="6" t="inlineStr">
        <is>
          <t>Конверсия в заявку</t>
        </is>
      </c>
      <c r="B405" s="7">
        <f>IFERROR(B406/B402,0)</f>
        <v/>
      </c>
    </row>
    <row r="406">
      <c r="A406" s="4" t="inlineStr">
        <is>
          <t>Лид 1</t>
        </is>
      </c>
      <c r="B406" s="5" t="n">
        <v>0</v>
      </c>
    </row>
    <row r="407">
      <c r="A407" s="6" t="inlineStr">
        <is>
          <t>Стоимость Лида 1</t>
        </is>
      </c>
      <c r="B407" s="9">
        <f>IFERROR(B410/B406,0)</f>
        <v/>
      </c>
    </row>
    <row r="408">
      <c r="A408" s="4" t="inlineStr">
        <is>
          <t>Лиды 2</t>
        </is>
      </c>
      <c r="B408" s="5" t="n">
        <v>0</v>
      </c>
    </row>
    <row r="409">
      <c r="A409" s="6" t="inlineStr">
        <is>
          <t>Стоимость Лида 2</t>
        </is>
      </c>
      <c r="B409" s="9">
        <f>IFERROR(B410/B408,0)</f>
        <v/>
      </c>
    </row>
    <row r="410">
      <c r="A410" s="4" t="inlineStr">
        <is>
          <t>Рекламный бюджет</t>
        </is>
      </c>
      <c r="B410" s="10" t="n">
        <v>184.7387999999999</v>
      </c>
    </row>
    <row r="411">
      <c r="A411" s="4" t="inlineStr">
        <is>
          <t>Лиды 3</t>
        </is>
      </c>
      <c r="B411" s="5" t="n">
        <v>0</v>
      </c>
    </row>
    <row r="412">
      <c r="A412" s="6" t="inlineStr">
        <is>
          <t>Стоимость Лида 3</t>
        </is>
      </c>
      <c r="B412" s="9">
        <f>IFERROR(B410/B411,0)</f>
        <v/>
      </c>
    </row>
    <row r="413">
      <c r="A413" s="4" t="inlineStr">
        <is>
          <t>ВП</t>
        </is>
      </c>
      <c r="B413" s="10" t="n">
        <v>0</v>
      </c>
    </row>
    <row r="414">
      <c r="A414" s="4" t="inlineStr">
        <is>
          <t>Продажи</t>
        </is>
      </c>
      <c r="B414" s="5" t="n">
        <v>0</v>
      </c>
    </row>
    <row r="415">
      <c r="A415" s="6" t="inlineStr">
        <is>
          <t>Средний чек</t>
        </is>
      </c>
      <c r="B415" s="9">
        <f>IFERROR(B413/B414,0)</f>
        <v/>
      </c>
    </row>
    <row r="417">
      <c r="A417" s="15" t="inlineStr">
        <is>
          <t>[Поиск] Dali - модели до 500 000 рублей</t>
        </is>
      </c>
      <c r="B417" s="16">
        <f>B$1</f>
        <v/>
      </c>
    </row>
    <row r="418">
      <c r="A418" s="4" t="inlineStr">
        <is>
          <t>Показы</t>
        </is>
      </c>
      <c r="B418" s="5" t="n">
        <v>4</v>
      </c>
    </row>
    <row r="419">
      <c r="A419" s="4" t="inlineStr">
        <is>
          <t>Визиты</t>
        </is>
      </c>
      <c r="B419" s="5" t="n">
        <v>0</v>
      </c>
    </row>
    <row r="420">
      <c r="A420" s="6" t="inlineStr">
        <is>
          <t>CTR</t>
        </is>
      </c>
      <c r="B420" s="7">
        <f>IFERROR(B419/B418,0)</f>
        <v/>
      </c>
    </row>
    <row r="421">
      <c r="A421" s="6" t="inlineStr">
        <is>
          <t>CPC</t>
        </is>
      </c>
      <c r="B421" s="8">
        <f>IFERROR(B427/B419,0)</f>
        <v/>
      </c>
    </row>
    <row r="422">
      <c r="A422" s="6" t="inlineStr">
        <is>
          <t>Конверсия в заявку</t>
        </is>
      </c>
      <c r="B422" s="7">
        <f>IFERROR(B423/B419,0)</f>
        <v/>
      </c>
    </row>
    <row r="423">
      <c r="A423" s="4" t="inlineStr">
        <is>
          <t>Лид 1</t>
        </is>
      </c>
      <c r="B423" s="5" t="n">
        <v>0</v>
      </c>
    </row>
    <row r="424">
      <c r="A424" s="6" t="inlineStr">
        <is>
          <t>Стоимость Лида 1</t>
        </is>
      </c>
      <c r="B424" s="9">
        <f>IFERROR(B427/B423,0)</f>
        <v/>
      </c>
    </row>
    <row r="425">
      <c r="A425" s="4" t="inlineStr">
        <is>
          <t>Лиды 2</t>
        </is>
      </c>
      <c r="B425" s="5" t="n">
        <v>0</v>
      </c>
    </row>
    <row r="426">
      <c r="A426" s="6" t="inlineStr">
        <is>
          <t>Стоимость Лида 2</t>
        </is>
      </c>
      <c r="B426" s="9">
        <f>IFERROR(B427/B425,0)</f>
        <v/>
      </c>
    </row>
    <row r="427">
      <c r="A427" s="4" t="inlineStr">
        <is>
          <t>Рекламный бюджет</t>
        </is>
      </c>
      <c r="B427" s="10" t="n">
        <v>0</v>
      </c>
    </row>
    <row r="428">
      <c r="A428" s="4" t="inlineStr">
        <is>
          <t>Лиды 3</t>
        </is>
      </c>
      <c r="B428" s="5" t="n">
        <v>0</v>
      </c>
    </row>
    <row r="429">
      <c r="A429" s="6" t="inlineStr">
        <is>
          <t>Стоимость Лида 3</t>
        </is>
      </c>
      <c r="B429" s="9">
        <f>IFERROR(B427/B428,0)</f>
        <v/>
      </c>
    </row>
    <row r="430">
      <c r="A430" s="4" t="inlineStr">
        <is>
          <t>ВП</t>
        </is>
      </c>
      <c r="B430" s="10" t="n">
        <v>0</v>
      </c>
    </row>
    <row r="431">
      <c r="A431" s="4" t="inlineStr">
        <is>
          <t>Продажи</t>
        </is>
      </c>
      <c r="B431" s="5" t="n">
        <v>0</v>
      </c>
    </row>
    <row r="432">
      <c r="A432" s="6" t="inlineStr">
        <is>
          <t>Средний чек</t>
        </is>
      </c>
      <c r="B432" s="9">
        <f>IFERROR(B430/B431,0)</f>
        <v/>
      </c>
    </row>
    <row r="434">
      <c r="A434" s="15" t="inlineStr">
        <is>
          <t>[Поиск] Dali модели от 500 000</t>
        </is>
      </c>
      <c r="B434" s="16">
        <f>B$1</f>
        <v/>
      </c>
    </row>
    <row r="435">
      <c r="A435" s="4" t="inlineStr">
        <is>
          <t>Показы</t>
        </is>
      </c>
      <c r="B435" s="5" t="n">
        <v>16</v>
      </c>
    </row>
    <row r="436">
      <c r="A436" s="4" t="inlineStr">
        <is>
          <t>Визиты</t>
        </is>
      </c>
      <c r="B436" s="5" t="n">
        <v>0</v>
      </c>
    </row>
    <row r="437">
      <c r="A437" s="6" t="inlineStr">
        <is>
          <t>CTR</t>
        </is>
      </c>
      <c r="B437" s="7">
        <f>IFERROR(B436/B435,0)</f>
        <v/>
      </c>
    </row>
    <row r="438">
      <c r="A438" s="6" t="inlineStr">
        <is>
          <t>CPC</t>
        </is>
      </c>
      <c r="B438" s="8">
        <f>IFERROR(B444/B436,0)</f>
        <v/>
      </c>
    </row>
    <row r="439">
      <c r="A439" s="6" t="inlineStr">
        <is>
          <t>Конверсия в заявку</t>
        </is>
      </c>
      <c r="B439" s="7">
        <f>IFERROR(B440/B436,0)</f>
        <v/>
      </c>
    </row>
    <row r="440">
      <c r="A440" s="4" t="inlineStr">
        <is>
          <t>Лид 1</t>
        </is>
      </c>
      <c r="B440" s="5" t="n">
        <v>0</v>
      </c>
    </row>
    <row r="441">
      <c r="A441" s="6" t="inlineStr">
        <is>
          <t>Стоимость Лида 1</t>
        </is>
      </c>
      <c r="B441" s="9">
        <f>IFERROR(B444/B440,0)</f>
        <v/>
      </c>
    </row>
    <row r="442">
      <c r="A442" s="4" t="inlineStr">
        <is>
          <t>Лиды 2</t>
        </is>
      </c>
      <c r="B442" s="5" t="n">
        <v>0</v>
      </c>
    </row>
    <row r="443">
      <c r="A443" s="6" t="inlineStr">
        <is>
          <t>Стоимость Лида 2</t>
        </is>
      </c>
      <c r="B443" s="9">
        <f>IFERROR(B444/B442,0)</f>
        <v/>
      </c>
    </row>
    <row r="444">
      <c r="A444" s="4" t="inlineStr">
        <is>
          <t>Рекламный бюджет</t>
        </is>
      </c>
      <c r="B444" s="10" t="n">
        <v>0</v>
      </c>
    </row>
    <row r="445">
      <c r="A445" s="4" t="inlineStr">
        <is>
          <t>Лиды 3</t>
        </is>
      </c>
      <c r="B445" s="5" t="n">
        <v>0</v>
      </c>
    </row>
    <row r="446">
      <c r="A446" s="6" t="inlineStr">
        <is>
          <t>Стоимость Лида 3</t>
        </is>
      </c>
      <c r="B446" s="9">
        <f>IFERROR(B444/B445,0)</f>
        <v/>
      </c>
    </row>
    <row r="447">
      <c r="A447" s="4" t="inlineStr">
        <is>
          <t>ВП</t>
        </is>
      </c>
      <c r="B447" s="10" t="n">
        <v>0</v>
      </c>
    </row>
    <row r="448">
      <c r="A448" s="4" t="inlineStr">
        <is>
          <t>Продажи</t>
        </is>
      </c>
      <c r="B448" s="5" t="n">
        <v>0</v>
      </c>
    </row>
    <row r="449">
      <c r="A449" s="6" t="inlineStr">
        <is>
          <t>Средний чек</t>
        </is>
      </c>
      <c r="B449" s="9">
        <f>IFERROR(B447/B448,0)</f>
        <v/>
      </c>
    </row>
    <row r="451">
      <c r="A451" s="15" t="inlineStr">
        <is>
          <t>[Брендовые] - Поиск с 21.05.</t>
        </is>
      </c>
      <c r="B451" s="16">
        <f>B$1</f>
        <v/>
      </c>
    </row>
    <row r="452">
      <c r="A452" s="4" t="inlineStr">
        <is>
          <t>Показы</t>
        </is>
      </c>
      <c r="B452" s="5" t="n">
        <v>0</v>
      </c>
    </row>
    <row r="453">
      <c r="A453" s="4" t="inlineStr">
        <is>
          <t>Визиты</t>
        </is>
      </c>
      <c r="B453" s="5" t="n">
        <v>1</v>
      </c>
    </row>
    <row r="454">
      <c r="A454" s="6" t="inlineStr">
        <is>
          <t>CTR</t>
        </is>
      </c>
      <c r="B454" s="7">
        <f>IFERROR(B453/B452,0)</f>
        <v/>
      </c>
    </row>
    <row r="455">
      <c r="A455" s="6" t="inlineStr">
        <is>
          <t>CPC</t>
        </is>
      </c>
      <c r="B455" s="8">
        <f>IFERROR(B461/B453,0)</f>
        <v/>
      </c>
    </row>
    <row r="456">
      <c r="A456" s="6" t="inlineStr">
        <is>
          <t>Конверсия в заявку</t>
        </is>
      </c>
      <c r="B456" s="7">
        <f>IFERROR(B457/B453,0)</f>
        <v/>
      </c>
    </row>
    <row r="457">
      <c r="A457" s="4" t="inlineStr">
        <is>
          <t>Лид 1</t>
        </is>
      </c>
      <c r="B457" s="5" t="n">
        <v>0</v>
      </c>
    </row>
    <row r="458">
      <c r="A458" s="6" t="inlineStr">
        <is>
          <t>Стоимость Лида 1</t>
        </is>
      </c>
      <c r="B458" s="9">
        <f>IFERROR(B461/B457,0)</f>
        <v/>
      </c>
    </row>
    <row r="459">
      <c r="A459" s="4" t="inlineStr">
        <is>
          <t>Лиды 2</t>
        </is>
      </c>
      <c r="B459" s="5" t="n">
        <v>0</v>
      </c>
    </row>
    <row r="460">
      <c r="A460" s="6" t="inlineStr">
        <is>
          <t>Стоимость Лида 2</t>
        </is>
      </c>
      <c r="B460" s="9">
        <f>IFERROR(B461/B459,0)</f>
        <v/>
      </c>
    </row>
    <row r="461">
      <c r="A461" s="4" t="inlineStr">
        <is>
          <t>Рекламный бюджет</t>
        </is>
      </c>
      <c r="B461" s="10" t="n">
        <v>0</v>
      </c>
    </row>
    <row r="462">
      <c r="A462" s="4" t="inlineStr">
        <is>
          <t>Лиды 3</t>
        </is>
      </c>
      <c r="B462" s="5" t="n">
        <v>0</v>
      </c>
    </row>
    <row r="463">
      <c r="A463" s="6" t="inlineStr">
        <is>
          <t>Стоимость Лида 3</t>
        </is>
      </c>
      <c r="B463" s="9">
        <f>IFERROR(B461/B462,0)</f>
        <v/>
      </c>
    </row>
    <row r="464">
      <c r="A464" s="4" t="inlineStr">
        <is>
          <t>ВП</t>
        </is>
      </c>
      <c r="B464" s="10" t="n">
        <v>0</v>
      </c>
    </row>
    <row r="465">
      <c r="A465" s="4" t="inlineStr">
        <is>
          <t>Продажи</t>
        </is>
      </c>
      <c r="B465" s="5" t="n">
        <v>0</v>
      </c>
    </row>
    <row r="466">
      <c r="A466" s="6" t="inlineStr">
        <is>
          <t>Средний чек</t>
        </is>
      </c>
      <c r="B466" s="9">
        <f>IFERROR(B464/B465,0)</f>
        <v/>
      </c>
    </row>
    <row r="468">
      <c r="A468" s="15" t="inlineStr">
        <is>
          <t>[Компрессоры] - По мощности - Поиск</t>
        </is>
      </c>
      <c r="B468" s="16">
        <f>B$1</f>
        <v/>
      </c>
    </row>
    <row r="469">
      <c r="A469" s="4" t="inlineStr">
        <is>
          <t>Показы</t>
        </is>
      </c>
      <c r="B469" s="5" t="n">
        <v>132</v>
      </c>
    </row>
    <row r="470">
      <c r="A470" s="4" t="inlineStr">
        <is>
          <t>Визиты</t>
        </is>
      </c>
      <c r="B470" s="5" t="n">
        <v>9</v>
      </c>
    </row>
    <row r="471">
      <c r="A471" s="6" t="inlineStr">
        <is>
          <t>CTR</t>
        </is>
      </c>
      <c r="B471" s="7">
        <f>IFERROR(B470/B469,0)</f>
        <v/>
      </c>
    </row>
    <row r="472">
      <c r="A472" s="6" t="inlineStr">
        <is>
          <t>CPC</t>
        </is>
      </c>
      <c r="B472" s="8">
        <f>IFERROR(B478/B470,0)</f>
        <v/>
      </c>
    </row>
    <row r="473">
      <c r="A473" s="6" t="inlineStr">
        <is>
          <t>Конверсия в заявку</t>
        </is>
      </c>
      <c r="B473" s="7">
        <f>IFERROR(B474/B470,0)</f>
        <v/>
      </c>
    </row>
    <row r="474">
      <c r="A474" s="4" t="inlineStr">
        <is>
          <t>Лид 1</t>
        </is>
      </c>
      <c r="B474" s="5" t="n">
        <v>0</v>
      </c>
    </row>
    <row r="475">
      <c r="A475" s="6" t="inlineStr">
        <is>
          <t>Стоимость Лида 1</t>
        </is>
      </c>
      <c r="B475" s="9">
        <f>IFERROR(B478/B474,0)</f>
        <v/>
      </c>
    </row>
    <row r="476">
      <c r="A476" s="4" t="inlineStr">
        <is>
          <t>Лиды 2</t>
        </is>
      </c>
      <c r="B476" s="5" t="n">
        <v>0</v>
      </c>
    </row>
    <row r="477">
      <c r="A477" s="6" t="inlineStr">
        <is>
          <t>Стоимость Лида 2</t>
        </is>
      </c>
      <c r="B477" s="9">
        <f>IFERROR(B478/B476,0)</f>
        <v/>
      </c>
    </row>
    <row r="478">
      <c r="A478" s="4" t="inlineStr">
        <is>
          <t>Рекламный бюджет</t>
        </is>
      </c>
      <c r="B478" s="10" t="n">
        <v>0</v>
      </c>
    </row>
    <row r="479">
      <c r="A479" s="4" t="inlineStr">
        <is>
          <t>Лиды 3</t>
        </is>
      </c>
      <c r="B479" s="5" t="n">
        <v>0</v>
      </c>
    </row>
    <row r="480">
      <c r="A480" s="6" t="inlineStr">
        <is>
          <t>Стоимость Лида 3</t>
        </is>
      </c>
      <c r="B480" s="9">
        <f>IFERROR(B478/B479,0)</f>
        <v/>
      </c>
    </row>
    <row r="481">
      <c r="A481" s="4" t="inlineStr">
        <is>
          <t>ВП</t>
        </is>
      </c>
      <c r="B481" s="10" t="n">
        <v>0</v>
      </c>
    </row>
    <row r="482">
      <c r="A482" s="4" t="inlineStr">
        <is>
          <t>Продажи</t>
        </is>
      </c>
      <c r="B482" s="5" t="n">
        <v>0</v>
      </c>
    </row>
    <row r="483">
      <c r="A483" s="6" t="inlineStr">
        <is>
          <t>Средний чек</t>
        </is>
      </c>
      <c r="B483" s="9">
        <f>IFERROR(B481/B482,0)</f>
        <v/>
      </c>
    </row>
    <row r="485">
      <c r="A485" s="15" t="inlineStr">
        <is>
          <t>[Компрессоры] - По производительности  - Поиск</t>
        </is>
      </c>
      <c r="B485" s="16">
        <f>B$1</f>
        <v/>
      </c>
    </row>
    <row r="486">
      <c r="A486" s="4" t="inlineStr">
        <is>
          <t>Показы</t>
        </is>
      </c>
      <c r="B486" s="5" t="n">
        <v>228</v>
      </c>
    </row>
    <row r="487">
      <c r="A487" s="4" t="inlineStr">
        <is>
          <t>Визиты</t>
        </is>
      </c>
      <c r="B487" s="5" t="n">
        <v>18</v>
      </c>
    </row>
    <row r="488">
      <c r="A488" s="6" t="inlineStr">
        <is>
          <t>CTR</t>
        </is>
      </c>
      <c r="B488" s="7">
        <f>IFERROR(B487/B486,0)</f>
        <v/>
      </c>
    </row>
    <row r="489">
      <c r="A489" s="6" t="inlineStr">
        <is>
          <t>CPC</t>
        </is>
      </c>
      <c r="B489" s="8">
        <f>IFERROR(B495/B487,0)</f>
        <v/>
      </c>
    </row>
    <row r="490">
      <c r="A490" s="6" t="inlineStr">
        <is>
          <t>Конверсия в заявку</t>
        </is>
      </c>
      <c r="B490" s="7">
        <f>IFERROR(B491/B487,0)</f>
        <v/>
      </c>
    </row>
    <row r="491">
      <c r="A491" s="4" t="inlineStr">
        <is>
          <t>Лид 1</t>
        </is>
      </c>
      <c r="B491" s="5" t="n">
        <v>0</v>
      </c>
    </row>
    <row r="492">
      <c r="A492" s="6" t="inlineStr">
        <is>
          <t>Стоимость Лида 1</t>
        </is>
      </c>
      <c r="B492" s="9">
        <f>IFERROR(B495/B491,0)</f>
        <v/>
      </c>
    </row>
    <row r="493">
      <c r="A493" s="4" t="inlineStr">
        <is>
          <t>Лиды 2</t>
        </is>
      </c>
      <c r="B493" s="5" t="n">
        <v>0</v>
      </c>
    </row>
    <row r="494">
      <c r="A494" s="6" t="inlineStr">
        <is>
          <t>Стоимость Лида 2</t>
        </is>
      </c>
      <c r="B494" s="9">
        <f>IFERROR(B495/B493,0)</f>
        <v/>
      </c>
    </row>
    <row r="495">
      <c r="A495" s="4" t="inlineStr">
        <is>
          <t>Рекламный бюджет</t>
        </is>
      </c>
      <c r="B495" s="10" t="n">
        <v>0</v>
      </c>
    </row>
    <row r="496">
      <c r="A496" s="4" t="inlineStr">
        <is>
          <t>Лиды 3</t>
        </is>
      </c>
      <c r="B496" s="5" t="n">
        <v>0</v>
      </c>
    </row>
    <row r="497">
      <c r="A497" s="6" t="inlineStr">
        <is>
          <t>Стоимость Лида 3</t>
        </is>
      </c>
      <c r="B497" s="9">
        <f>IFERROR(B495/B496,0)</f>
        <v/>
      </c>
    </row>
    <row r="498">
      <c r="A498" s="4" t="inlineStr">
        <is>
          <t>ВП</t>
        </is>
      </c>
      <c r="B498" s="10" t="n">
        <v>0</v>
      </c>
    </row>
    <row r="499">
      <c r="A499" s="4" t="inlineStr">
        <is>
          <t>Продажи</t>
        </is>
      </c>
      <c r="B499" s="5" t="n">
        <v>0</v>
      </c>
    </row>
    <row r="500">
      <c r="A500" s="6" t="inlineStr">
        <is>
          <t>Средний чек</t>
        </is>
      </c>
      <c r="B500" s="9">
        <f>IFERROR(B498/B499,0)</f>
        <v/>
      </c>
    </row>
    <row r="502">
      <c r="A502" s="15" t="inlineStr">
        <is>
          <t>[Компрессоры] - Товарная МК</t>
        </is>
      </c>
      <c r="B502" s="16">
        <f>B$1</f>
        <v/>
      </c>
    </row>
    <row r="503">
      <c r="A503" s="4" t="inlineStr">
        <is>
          <t>Показы</t>
        </is>
      </c>
      <c r="B503" s="5" t="n">
        <v>0</v>
      </c>
    </row>
    <row r="504">
      <c r="A504" s="4" t="inlineStr">
        <is>
          <t>Визиты</t>
        </is>
      </c>
      <c r="B504" s="5" t="n">
        <v>3</v>
      </c>
    </row>
    <row r="505">
      <c r="A505" s="6" t="inlineStr">
        <is>
          <t>CTR</t>
        </is>
      </c>
      <c r="B505" s="7">
        <f>IFERROR(B504/B503,0)</f>
        <v/>
      </c>
    </row>
    <row r="506">
      <c r="A506" s="6" t="inlineStr">
        <is>
          <t>CPC</t>
        </is>
      </c>
      <c r="B506" s="8">
        <f>IFERROR(B512/B504,0)</f>
        <v/>
      </c>
    </row>
    <row r="507">
      <c r="A507" s="6" t="inlineStr">
        <is>
          <t>Конверсия в заявку</t>
        </is>
      </c>
      <c r="B507" s="7">
        <f>IFERROR(B508/B504,0)</f>
        <v/>
      </c>
    </row>
    <row r="508">
      <c r="A508" s="4" t="inlineStr">
        <is>
          <t>Лид 1</t>
        </is>
      </c>
      <c r="B508" s="5" t="n">
        <v>0</v>
      </c>
    </row>
    <row r="509">
      <c r="A509" s="6" t="inlineStr">
        <is>
          <t>Стоимость Лида 1</t>
        </is>
      </c>
      <c r="B509" s="9">
        <f>IFERROR(B512/B508,0)</f>
        <v/>
      </c>
    </row>
    <row r="510">
      <c r="A510" s="4" t="inlineStr">
        <is>
          <t>Лиды 2</t>
        </is>
      </c>
      <c r="B510" s="5" t="n">
        <v>0</v>
      </c>
    </row>
    <row r="511">
      <c r="A511" s="6" t="inlineStr">
        <is>
          <t>Стоимость Лида 2</t>
        </is>
      </c>
      <c r="B511" s="9">
        <f>IFERROR(B512/B510,0)</f>
        <v/>
      </c>
    </row>
    <row r="512">
      <c r="A512" s="4" t="inlineStr">
        <is>
          <t>Рекламный бюджет</t>
        </is>
      </c>
      <c r="B512" s="10" t="n">
        <v>0</v>
      </c>
    </row>
    <row r="513">
      <c r="A513" s="4" t="inlineStr">
        <is>
          <t>Лиды 3</t>
        </is>
      </c>
      <c r="B513" s="5" t="n">
        <v>0</v>
      </c>
    </row>
    <row r="514">
      <c r="A514" s="6" t="inlineStr">
        <is>
          <t>Стоимость Лида 3</t>
        </is>
      </c>
      <c r="B514" s="9">
        <f>IFERROR(B512/B513,0)</f>
        <v/>
      </c>
    </row>
    <row r="515">
      <c r="A515" s="4" t="inlineStr">
        <is>
          <t>ВП</t>
        </is>
      </c>
      <c r="B515" s="10" t="n">
        <v>0</v>
      </c>
    </row>
    <row r="516">
      <c r="A516" s="4" t="inlineStr">
        <is>
          <t>Продажи</t>
        </is>
      </c>
      <c r="B516" s="5" t="n">
        <v>0</v>
      </c>
    </row>
    <row r="517">
      <c r="A517" s="6" t="inlineStr">
        <is>
          <t>Средний чек</t>
        </is>
      </c>
      <c r="B517" s="9">
        <f>IFERROR(B515/B516,0)</f>
        <v/>
      </c>
    </row>
    <row r="519">
      <c r="A519" s="15" t="inlineStr">
        <is>
          <t>[Поиск] Поиск - Компрессор купить - ОЗК</t>
        </is>
      </c>
      <c r="B519" s="16">
        <f>B$1</f>
        <v/>
      </c>
    </row>
    <row r="520">
      <c r="A520" s="4" t="inlineStr">
        <is>
          <t>Показы</t>
        </is>
      </c>
      <c r="B520" s="5" t="n">
        <v>466</v>
      </c>
    </row>
    <row r="521">
      <c r="A521" s="4" t="inlineStr">
        <is>
          <t>Визиты</t>
        </is>
      </c>
      <c r="B521" s="5" t="n">
        <v>16</v>
      </c>
    </row>
    <row r="522">
      <c r="A522" s="6" t="inlineStr">
        <is>
          <t>CTR</t>
        </is>
      </c>
      <c r="B522" s="7">
        <f>IFERROR(B521/B520,0)</f>
        <v/>
      </c>
    </row>
    <row r="523">
      <c r="A523" s="6" t="inlineStr">
        <is>
          <t>CPC</t>
        </is>
      </c>
      <c r="B523" s="8">
        <f>IFERROR(B529/B521,0)</f>
        <v/>
      </c>
    </row>
    <row r="524">
      <c r="A524" s="6" t="inlineStr">
        <is>
          <t>Конверсия в заявку</t>
        </is>
      </c>
      <c r="B524" s="7">
        <f>IFERROR(B525/B521,0)</f>
        <v/>
      </c>
    </row>
    <row r="525">
      <c r="A525" s="4" t="inlineStr">
        <is>
          <t>Лид 1</t>
        </is>
      </c>
      <c r="B525" s="5" t="n">
        <v>0</v>
      </c>
    </row>
    <row r="526">
      <c r="A526" s="6" t="inlineStr">
        <is>
          <t>Стоимость Лида 1</t>
        </is>
      </c>
      <c r="B526" s="9">
        <f>IFERROR(B529/B525,0)</f>
        <v/>
      </c>
    </row>
    <row r="527">
      <c r="A527" s="4" t="inlineStr">
        <is>
          <t>Лиды 2</t>
        </is>
      </c>
      <c r="B527" s="5" t="n">
        <v>0</v>
      </c>
    </row>
    <row r="528">
      <c r="A528" s="6" t="inlineStr">
        <is>
          <t>Стоимость Лида 2</t>
        </is>
      </c>
      <c r="B528" s="9">
        <f>IFERROR(B529/B527,0)</f>
        <v/>
      </c>
    </row>
    <row r="529">
      <c r="A529" s="4" t="inlineStr">
        <is>
          <t>Рекламный бюджет</t>
        </is>
      </c>
      <c r="B529" s="10" t="n">
        <v>0</v>
      </c>
    </row>
    <row r="530">
      <c r="A530" s="4" t="inlineStr">
        <is>
          <t>Лиды 3</t>
        </is>
      </c>
      <c r="B530" s="5" t="n">
        <v>0</v>
      </c>
    </row>
    <row r="531">
      <c r="A531" s="6" t="inlineStr">
        <is>
          <t>Стоимость Лида 3</t>
        </is>
      </c>
      <c r="B531" s="9">
        <f>IFERROR(B529/B530,0)</f>
        <v/>
      </c>
    </row>
    <row r="532">
      <c r="A532" s="4" t="inlineStr">
        <is>
          <t>ВП</t>
        </is>
      </c>
      <c r="B532" s="10" t="n">
        <v>0</v>
      </c>
    </row>
    <row r="533">
      <c r="A533" s="4" t="inlineStr">
        <is>
          <t>Продажи</t>
        </is>
      </c>
      <c r="B533" s="5" t="n">
        <v>0</v>
      </c>
    </row>
    <row r="534">
      <c r="A534" s="6" t="inlineStr">
        <is>
          <t>Средний чек</t>
        </is>
      </c>
      <c r="B534" s="9">
        <f>IFERROR(B532/B533,0)</f>
        <v/>
      </c>
    </row>
    <row r="536">
      <c r="A536" s="15" t="inlineStr">
        <is>
          <t>[Поиск] Поиск диапазон 104376-346407</t>
        </is>
      </c>
      <c r="B536" s="16">
        <f>B$1</f>
        <v/>
      </c>
    </row>
    <row r="537">
      <c r="A537" s="4" t="inlineStr">
        <is>
          <t>Показы</t>
        </is>
      </c>
      <c r="B537" s="5" t="n">
        <v>0</v>
      </c>
    </row>
    <row r="538">
      <c r="A538" s="4" t="inlineStr">
        <is>
          <t>Визиты</t>
        </is>
      </c>
      <c r="B538" s="5" t="n">
        <v>3</v>
      </c>
    </row>
    <row r="539">
      <c r="A539" s="6" t="inlineStr">
        <is>
          <t>CTR</t>
        </is>
      </c>
      <c r="B539" s="7">
        <f>IFERROR(B538/B537,0)</f>
        <v/>
      </c>
    </row>
    <row r="540">
      <c r="A540" s="6" t="inlineStr">
        <is>
          <t>CPC</t>
        </is>
      </c>
      <c r="B540" s="8">
        <f>IFERROR(B546/B538,0)</f>
        <v/>
      </c>
    </row>
    <row r="541">
      <c r="A541" s="6" t="inlineStr">
        <is>
          <t>Конверсия в заявку</t>
        </is>
      </c>
      <c r="B541" s="7">
        <f>IFERROR(B542/B538,0)</f>
        <v/>
      </c>
    </row>
    <row r="542">
      <c r="A542" s="4" t="inlineStr">
        <is>
          <t>Лид 1</t>
        </is>
      </c>
      <c r="B542" s="5" t="n">
        <v>0</v>
      </c>
    </row>
    <row r="543">
      <c r="A543" s="6" t="inlineStr">
        <is>
          <t>Стоимость Лида 1</t>
        </is>
      </c>
      <c r="B543" s="9">
        <f>IFERROR(B546/B542,0)</f>
        <v/>
      </c>
    </row>
    <row r="544">
      <c r="A544" s="4" t="inlineStr">
        <is>
          <t>Лиды 2</t>
        </is>
      </c>
      <c r="B544" s="5" t="n">
        <v>0</v>
      </c>
    </row>
    <row r="545">
      <c r="A545" s="6" t="inlineStr">
        <is>
          <t>Стоимость Лида 2</t>
        </is>
      </c>
      <c r="B545" s="9">
        <f>IFERROR(B546/B544,0)</f>
        <v/>
      </c>
    </row>
    <row r="546">
      <c r="A546" s="4" t="inlineStr">
        <is>
          <t>Рекламный бюджет</t>
        </is>
      </c>
      <c r="B546" s="10" t="n">
        <v>0</v>
      </c>
    </row>
    <row r="547">
      <c r="A547" s="4" t="inlineStr">
        <is>
          <t>Лиды 3</t>
        </is>
      </c>
      <c r="B547" s="5" t="n">
        <v>0</v>
      </c>
    </row>
    <row r="548">
      <c r="A548" s="6" t="inlineStr">
        <is>
          <t>Стоимость Лида 3</t>
        </is>
      </c>
      <c r="B548" s="9">
        <f>IFERROR(B546/B547,0)</f>
        <v/>
      </c>
    </row>
    <row r="549">
      <c r="A549" s="4" t="inlineStr">
        <is>
          <t>ВП</t>
        </is>
      </c>
      <c r="B549" s="10" t="n">
        <v>0</v>
      </c>
    </row>
    <row r="550">
      <c r="A550" s="4" t="inlineStr">
        <is>
          <t>Продажи</t>
        </is>
      </c>
      <c r="B550" s="5" t="n">
        <v>0</v>
      </c>
    </row>
    <row r="551">
      <c r="A551" s="6" t="inlineStr">
        <is>
          <t>Средний чек</t>
        </is>
      </c>
      <c r="B551" s="9">
        <f>IFERROR(B549/B550,0)</f>
        <v/>
      </c>
    </row>
    <row r="553">
      <c r="A553" s="15" t="inlineStr">
        <is>
          <t>[Поиск] Поиск диапазон 6677171-13452877</t>
        </is>
      </c>
      <c r="B553" s="16">
        <f>B$1</f>
        <v/>
      </c>
    </row>
    <row r="554">
      <c r="A554" s="4" t="inlineStr">
        <is>
          <t>Показы</t>
        </is>
      </c>
      <c r="B554" s="5" t="n">
        <v>2</v>
      </c>
    </row>
    <row r="555">
      <c r="A555" s="4" t="inlineStr">
        <is>
          <t>Визиты</t>
        </is>
      </c>
      <c r="B555" s="5" t="n">
        <v>0</v>
      </c>
    </row>
    <row r="556">
      <c r="A556" s="6" t="inlineStr">
        <is>
          <t>CTR</t>
        </is>
      </c>
      <c r="B556" s="7">
        <f>IFERROR(B555/B554,0)</f>
        <v/>
      </c>
    </row>
    <row r="557">
      <c r="A557" s="6" t="inlineStr">
        <is>
          <t>CPC</t>
        </is>
      </c>
      <c r="B557" s="8">
        <f>IFERROR(B563/B555,0)</f>
        <v/>
      </c>
    </row>
    <row r="558">
      <c r="A558" s="6" t="inlineStr">
        <is>
          <t>Конверсия в заявку</t>
        </is>
      </c>
      <c r="B558" s="7">
        <f>IFERROR(B559/B555,0)</f>
        <v/>
      </c>
    </row>
    <row r="559">
      <c r="A559" s="4" t="inlineStr">
        <is>
          <t>Лид 1</t>
        </is>
      </c>
      <c r="B559" s="5" t="n">
        <v>0</v>
      </c>
    </row>
    <row r="560">
      <c r="A560" s="6" t="inlineStr">
        <is>
          <t>Стоимость Лида 1</t>
        </is>
      </c>
      <c r="B560" s="9">
        <f>IFERROR(B563/B559,0)</f>
        <v/>
      </c>
    </row>
    <row r="561">
      <c r="A561" s="4" t="inlineStr">
        <is>
          <t>Лиды 2</t>
        </is>
      </c>
      <c r="B561" s="5" t="n">
        <v>0</v>
      </c>
    </row>
    <row r="562">
      <c r="A562" s="6" t="inlineStr">
        <is>
          <t>Стоимость Лида 2</t>
        </is>
      </c>
      <c r="B562" s="9">
        <f>IFERROR(B563/B561,0)</f>
        <v/>
      </c>
    </row>
    <row r="563">
      <c r="A563" s="4" t="inlineStr">
        <is>
          <t>Рекламный бюджет</t>
        </is>
      </c>
      <c r="B563" s="10" t="n">
        <v>0</v>
      </c>
    </row>
    <row r="564">
      <c r="A564" s="4" t="inlineStr">
        <is>
          <t>Лиды 3</t>
        </is>
      </c>
      <c r="B564" s="5" t="n">
        <v>0</v>
      </c>
    </row>
    <row r="565">
      <c r="A565" s="6" t="inlineStr">
        <is>
          <t>Стоимость Лида 3</t>
        </is>
      </c>
      <c r="B565" s="9">
        <f>IFERROR(B563/B564,0)</f>
        <v/>
      </c>
    </row>
    <row r="566">
      <c r="A566" s="4" t="inlineStr">
        <is>
          <t>ВП</t>
        </is>
      </c>
      <c r="B566" s="10" t="n">
        <v>0</v>
      </c>
    </row>
    <row r="567">
      <c r="A567" s="4" t="inlineStr">
        <is>
          <t>Продажи</t>
        </is>
      </c>
      <c r="B567" s="5" t="n">
        <v>0</v>
      </c>
    </row>
    <row r="568">
      <c r="A568" s="6" t="inlineStr">
        <is>
          <t>Средний чек</t>
        </is>
      </c>
      <c r="B568" s="9">
        <f>IFERROR(B566/B567,0)</f>
        <v/>
      </c>
    </row>
    <row r="570">
      <c r="A570" s="15" t="inlineStr">
        <is>
          <t>[Поиск] Поиск диапазон 898028-1125642</t>
        </is>
      </c>
      <c r="B570" s="16">
        <f>B$1</f>
        <v/>
      </c>
    </row>
    <row r="571">
      <c r="A571" s="4" t="inlineStr">
        <is>
          <t>Показы</t>
        </is>
      </c>
      <c r="B571" s="5" t="n">
        <v>5</v>
      </c>
    </row>
    <row r="572">
      <c r="A572" s="4" t="inlineStr">
        <is>
          <t>Визиты</t>
        </is>
      </c>
      <c r="B572" s="5" t="n">
        <v>0</v>
      </c>
    </row>
    <row r="573">
      <c r="A573" s="6" t="inlineStr">
        <is>
          <t>CTR</t>
        </is>
      </c>
      <c r="B573" s="7">
        <f>IFERROR(B572/B571,0)</f>
        <v/>
      </c>
    </row>
    <row r="574">
      <c r="A574" s="6" t="inlineStr">
        <is>
          <t>CPC</t>
        </is>
      </c>
      <c r="B574" s="8">
        <f>IFERROR(B580/B572,0)</f>
        <v/>
      </c>
    </row>
    <row r="575">
      <c r="A575" s="6" t="inlineStr">
        <is>
          <t>Конверсия в заявку</t>
        </is>
      </c>
      <c r="B575" s="7">
        <f>IFERROR(B576/B572,0)</f>
        <v/>
      </c>
    </row>
    <row r="576">
      <c r="A576" s="4" t="inlineStr">
        <is>
          <t>Лид 1</t>
        </is>
      </c>
      <c r="B576" s="5" t="n">
        <v>0</v>
      </c>
    </row>
    <row r="577">
      <c r="A577" s="6" t="inlineStr">
        <is>
          <t>Стоимость Лида 1</t>
        </is>
      </c>
      <c r="B577" s="9">
        <f>IFERROR(B580/B576,0)</f>
        <v/>
      </c>
    </row>
    <row r="578">
      <c r="A578" s="4" t="inlineStr">
        <is>
          <t>Лиды 2</t>
        </is>
      </c>
      <c r="B578" s="5" t="n">
        <v>0</v>
      </c>
    </row>
    <row r="579">
      <c r="A579" s="6" t="inlineStr">
        <is>
          <t>Стоимость Лида 2</t>
        </is>
      </c>
      <c r="B579" s="9">
        <f>IFERROR(B580/B578,0)</f>
        <v/>
      </c>
    </row>
    <row r="580">
      <c r="A580" s="4" t="inlineStr">
        <is>
          <t>Рекламный бюджет</t>
        </is>
      </c>
      <c r="B580" s="10" t="n">
        <v>0</v>
      </c>
    </row>
    <row r="581">
      <c r="A581" s="4" t="inlineStr">
        <is>
          <t>Лиды 3</t>
        </is>
      </c>
      <c r="B581" s="5" t="n">
        <v>0</v>
      </c>
    </row>
    <row r="582">
      <c r="A582" s="6" t="inlineStr">
        <is>
          <t>Стоимость Лида 3</t>
        </is>
      </c>
      <c r="B582" s="9">
        <f>IFERROR(B580/B581,0)</f>
        <v/>
      </c>
    </row>
    <row r="583">
      <c r="A583" s="4" t="inlineStr">
        <is>
          <t>ВП</t>
        </is>
      </c>
      <c r="B583" s="10" t="n">
        <v>0</v>
      </c>
    </row>
    <row r="584">
      <c r="A584" s="4" t="inlineStr">
        <is>
          <t>Продажи</t>
        </is>
      </c>
      <c r="B584" s="5" t="n">
        <v>0</v>
      </c>
    </row>
    <row r="585">
      <c r="A585" s="6" t="inlineStr">
        <is>
          <t>Средний чек</t>
        </is>
      </c>
      <c r="B585" s="9">
        <f>IFERROR(B583/B584,0)</f>
        <v/>
      </c>
    </row>
    <row r="587">
      <c r="A587" s="15" t="inlineStr">
        <is>
          <t>[РСЯ] Рся 2026 (копия)</t>
        </is>
      </c>
      <c r="B587" s="16">
        <f>B$1</f>
        <v/>
      </c>
    </row>
    <row r="588">
      <c r="A588" s="4" t="inlineStr">
        <is>
          <t>Показы</t>
        </is>
      </c>
      <c r="B588" s="5" t="n">
        <v>0</v>
      </c>
    </row>
    <row r="589">
      <c r="A589" s="4" t="inlineStr">
        <is>
          <t>Визиты</t>
        </is>
      </c>
      <c r="B589" s="5" t="n">
        <v>1</v>
      </c>
    </row>
    <row r="590">
      <c r="A590" s="6" t="inlineStr">
        <is>
          <t>CTR</t>
        </is>
      </c>
      <c r="B590" s="7">
        <f>IFERROR(B589/B588,0)</f>
        <v/>
      </c>
    </row>
    <row r="591">
      <c r="A591" s="6" t="inlineStr">
        <is>
          <t>CPC</t>
        </is>
      </c>
      <c r="B591" s="8">
        <f>IFERROR(B597/B589,0)</f>
        <v/>
      </c>
    </row>
    <row r="592">
      <c r="A592" s="6" t="inlineStr">
        <is>
          <t>Конверсия в заявку</t>
        </is>
      </c>
      <c r="B592" s="7">
        <f>IFERROR(B593/B589,0)</f>
        <v/>
      </c>
    </row>
    <row r="593">
      <c r="A593" s="4" t="inlineStr">
        <is>
          <t>Лид 1</t>
        </is>
      </c>
      <c r="B593" s="5" t="n">
        <v>0</v>
      </c>
    </row>
    <row r="594">
      <c r="A594" s="6" t="inlineStr">
        <is>
          <t>Стоимость Лида 1</t>
        </is>
      </c>
      <c r="B594" s="9">
        <f>IFERROR(B597/B593,0)</f>
        <v/>
      </c>
    </row>
    <row r="595">
      <c r="A595" s="4" t="inlineStr">
        <is>
          <t>Лиды 2</t>
        </is>
      </c>
      <c r="B595" s="5" t="n">
        <v>0</v>
      </c>
    </row>
    <row r="596">
      <c r="A596" s="6" t="inlineStr">
        <is>
          <t>Стоимость Лида 2</t>
        </is>
      </c>
      <c r="B596" s="9">
        <f>IFERROR(B597/B595,0)</f>
        <v/>
      </c>
    </row>
    <row r="597">
      <c r="A597" s="4" t="inlineStr">
        <is>
          <t>Рекламный бюджет</t>
        </is>
      </c>
      <c r="B597" s="10" t="n">
        <v>0</v>
      </c>
    </row>
    <row r="598">
      <c r="A598" s="4" t="inlineStr">
        <is>
          <t>Лиды 3</t>
        </is>
      </c>
      <c r="B598" s="5" t="n">
        <v>0</v>
      </c>
    </row>
    <row r="599">
      <c r="A599" s="6" t="inlineStr">
        <is>
          <t>Стоимость Лида 3</t>
        </is>
      </c>
      <c r="B599" s="9">
        <f>IFERROR(B597/B598,0)</f>
        <v/>
      </c>
    </row>
    <row r="600">
      <c r="A600" s="4" t="inlineStr">
        <is>
          <t>ВП</t>
        </is>
      </c>
      <c r="B600" s="10" t="n">
        <v>0</v>
      </c>
    </row>
    <row r="601">
      <c r="A601" s="4" t="inlineStr">
        <is>
          <t>Продажи</t>
        </is>
      </c>
      <c r="B601" s="5" t="n">
        <v>0</v>
      </c>
    </row>
    <row r="602">
      <c r="A602" s="6" t="inlineStr">
        <is>
          <t>Средний чек</t>
        </is>
      </c>
      <c r="B602" s="9">
        <f>IFERROR(B600/B601,0)</f>
        <v/>
      </c>
    </row>
    <row r="604">
      <c r="A604" s="15" t="inlineStr">
        <is>
          <t>[РСЯ] Рся 28.06.26</t>
        </is>
      </c>
      <c r="B604" s="16">
        <f>B$1</f>
        <v/>
      </c>
    </row>
    <row r="605">
      <c r="A605" s="4" t="inlineStr">
        <is>
          <t>Показы</t>
        </is>
      </c>
      <c r="B605" s="5" t="n">
        <v>0</v>
      </c>
    </row>
    <row r="606">
      <c r="A606" s="4" t="inlineStr">
        <is>
          <t>Визиты</t>
        </is>
      </c>
      <c r="B606" s="5" t="n">
        <v>6</v>
      </c>
    </row>
    <row r="607">
      <c r="A607" s="6" t="inlineStr">
        <is>
          <t>CTR</t>
        </is>
      </c>
      <c r="B607" s="7">
        <f>IFERROR(B606/B605,0)</f>
        <v/>
      </c>
    </row>
    <row r="608">
      <c r="A608" s="6" t="inlineStr">
        <is>
          <t>CPC</t>
        </is>
      </c>
      <c r="B608" s="8">
        <f>IFERROR(B614/B606,0)</f>
        <v/>
      </c>
    </row>
    <row r="609">
      <c r="A609" s="6" t="inlineStr">
        <is>
          <t>Конверсия в заявку</t>
        </is>
      </c>
      <c r="B609" s="7">
        <f>IFERROR(B610/B606,0)</f>
        <v/>
      </c>
    </row>
    <row r="610">
      <c r="A610" s="4" t="inlineStr">
        <is>
          <t>Лид 1</t>
        </is>
      </c>
      <c r="B610" s="5" t="n">
        <v>0</v>
      </c>
    </row>
    <row r="611">
      <c r="A611" s="6" t="inlineStr">
        <is>
          <t>Стоимость Лида 1</t>
        </is>
      </c>
      <c r="B611" s="9">
        <f>IFERROR(B614/B610,0)</f>
        <v/>
      </c>
    </row>
    <row r="612">
      <c r="A612" s="4" t="inlineStr">
        <is>
          <t>Лиды 2</t>
        </is>
      </c>
      <c r="B612" s="5" t="n">
        <v>0</v>
      </c>
    </row>
    <row r="613">
      <c r="A613" s="6" t="inlineStr">
        <is>
          <t>Стоимость Лида 2</t>
        </is>
      </c>
      <c r="B613" s="9">
        <f>IFERROR(B614/B612,0)</f>
        <v/>
      </c>
    </row>
    <row r="614">
      <c r="A614" s="4" t="inlineStr">
        <is>
          <t>Рекламный бюджет</t>
        </is>
      </c>
      <c r="B614" s="10" t="n">
        <v>0</v>
      </c>
    </row>
    <row r="615">
      <c r="A615" s="4" t="inlineStr">
        <is>
          <t>Лиды 3</t>
        </is>
      </c>
      <c r="B615" s="5" t="n">
        <v>0</v>
      </c>
    </row>
    <row r="616">
      <c r="A616" s="6" t="inlineStr">
        <is>
          <t>Стоимость Лида 3</t>
        </is>
      </c>
      <c r="B616" s="9">
        <f>IFERROR(B614/B615,0)</f>
        <v/>
      </c>
    </row>
    <row r="617">
      <c r="A617" s="4" t="inlineStr">
        <is>
          <t>ВП</t>
        </is>
      </c>
      <c r="B617" s="10" t="n">
        <v>0</v>
      </c>
    </row>
    <row r="618">
      <c r="A618" s="4" t="inlineStr">
        <is>
          <t>Продажи</t>
        </is>
      </c>
      <c r="B618" s="5" t="n">
        <v>0</v>
      </c>
    </row>
    <row r="619">
      <c r="A619" s="6" t="inlineStr">
        <is>
          <t>Средний чек</t>
        </is>
      </c>
      <c r="B619" s="9">
        <f>IFERROR(B617/B618,0)</f>
        <v/>
      </c>
    </row>
    <row r="621">
      <c r="A621" s="15" t="inlineStr">
        <is>
          <t>[РСЯ] ТМК - осушители</t>
        </is>
      </c>
      <c r="B621" s="16">
        <f>B$1</f>
        <v/>
      </c>
    </row>
    <row r="622">
      <c r="A622" s="4" t="inlineStr">
        <is>
          <t>Показы</t>
        </is>
      </c>
      <c r="B622" s="5" t="n">
        <v>0</v>
      </c>
    </row>
    <row r="623">
      <c r="A623" s="4" t="inlineStr">
        <is>
          <t>Визиты</t>
        </is>
      </c>
      <c r="B623" s="5" t="n">
        <v>1</v>
      </c>
    </row>
    <row r="624">
      <c r="A624" s="6" t="inlineStr">
        <is>
          <t>CTR</t>
        </is>
      </c>
      <c r="B624" s="7">
        <f>IFERROR(B623/B622,0)</f>
        <v/>
      </c>
    </row>
    <row r="625">
      <c r="A625" s="6" t="inlineStr">
        <is>
          <t>CPC</t>
        </is>
      </c>
      <c r="B625" s="8">
        <f>IFERROR(B631/B623,0)</f>
        <v/>
      </c>
    </row>
    <row r="626">
      <c r="A626" s="6" t="inlineStr">
        <is>
          <t>Конверсия в заявку</t>
        </is>
      </c>
      <c r="B626" s="7">
        <f>IFERROR(B627/B623,0)</f>
        <v/>
      </c>
    </row>
    <row r="627">
      <c r="A627" s="4" t="inlineStr">
        <is>
          <t>Лид 1</t>
        </is>
      </c>
      <c r="B627" s="5" t="n">
        <v>0</v>
      </c>
    </row>
    <row r="628">
      <c r="A628" s="6" t="inlineStr">
        <is>
          <t>Стоимость Лида 1</t>
        </is>
      </c>
      <c r="B628" s="9">
        <f>IFERROR(B631/B627,0)</f>
        <v/>
      </c>
    </row>
    <row r="629">
      <c r="A629" s="4" t="inlineStr">
        <is>
          <t>Лиды 2</t>
        </is>
      </c>
      <c r="B629" s="5" t="n">
        <v>0</v>
      </c>
    </row>
    <row r="630">
      <c r="A630" s="6" t="inlineStr">
        <is>
          <t>Стоимость Лида 2</t>
        </is>
      </c>
      <c r="B630" s="9">
        <f>IFERROR(B631/B629,0)</f>
        <v/>
      </c>
    </row>
    <row r="631">
      <c r="A631" s="4" t="inlineStr">
        <is>
          <t>Рекламный бюджет</t>
        </is>
      </c>
      <c r="B631" s="10" t="n">
        <v>0</v>
      </c>
    </row>
    <row r="632">
      <c r="A632" s="4" t="inlineStr">
        <is>
          <t>Лиды 3</t>
        </is>
      </c>
      <c r="B632" s="5" t="n">
        <v>0</v>
      </c>
    </row>
    <row r="633">
      <c r="A633" s="6" t="inlineStr">
        <is>
          <t>Стоимость Лида 3</t>
        </is>
      </c>
      <c r="B633" s="9">
        <f>IFERROR(B631/B632,0)</f>
        <v/>
      </c>
    </row>
    <row r="634">
      <c r="A634" s="4" t="inlineStr">
        <is>
          <t>ВП</t>
        </is>
      </c>
      <c r="B634" s="10" t="n">
        <v>0</v>
      </c>
    </row>
    <row r="635">
      <c r="A635" s="4" t="inlineStr">
        <is>
          <t>Продажи</t>
        </is>
      </c>
      <c r="B635" s="5" t="n">
        <v>0</v>
      </c>
    </row>
    <row r="636">
      <c r="A636" s="6" t="inlineStr">
        <is>
          <t>Средний чек</t>
        </is>
      </c>
      <c r="B636" s="9">
        <f>IFERROR(B634/B635,0)</f>
        <v/>
      </c>
    </row>
    <row r="638">
      <c r="A638" s="15" t="inlineStr">
        <is>
          <t>[РСЯ] Товарная кампания prokompressor.ru от 17.06.26</t>
        </is>
      </c>
      <c r="B638" s="16">
        <f>B$1</f>
        <v/>
      </c>
    </row>
    <row r="639">
      <c r="A639" s="4" t="inlineStr">
        <is>
          <t>Показы</t>
        </is>
      </c>
      <c r="B639" s="5" t="n">
        <v>0</v>
      </c>
    </row>
    <row r="640">
      <c r="A640" s="4" t="inlineStr">
        <is>
          <t>Визиты</t>
        </is>
      </c>
      <c r="B640" s="5" t="n">
        <v>8</v>
      </c>
    </row>
    <row r="641">
      <c r="A641" s="6" t="inlineStr">
        <is>
          <t>CTR</t>
        </is>
      </c>
      <c r="B641" s="7">
        <f>IFERROR(B640/B639,0)</f>
        <v/>
      </c>
    </row>
    <row r="642">
      <c r="A642" s="6" t="inlineStr">
        <is>
          <t>CPC</t>
        </is>
      </c>
      <c r="B642" s="8">
        <f>IFERROR(B648/B640,0)</f>
        <v/>
      </c>
    </row>
    <row r="643">
      <c r="A643" s="6" t="inlineStr">
        <is>
          <t>Конверсия в заявку</t>
        </is>
      </c>
      <c r="B643" s="7">
        <f>IFERROR(B644/B640,0)</f>
        <v/>
      </c>
    </row>
    <row r="644">
      <c r="A644" s="4" t="inlineStr">
        <is>
          <t>Лид 1</t>
        </is>
      </c>
      <c r="B644" s="5" t="n">
        <v>0</v>
      </c>
    </row>
    <row r="645">
      <c r="A645" s="6" t="inlineStr">
        <is>
          <t>Стоимость Лида 1</t>
        </is>
      </c>
      <c r="B645" s="9">
        <f>IFERROR(B648/B644,0)</f>
        <v/>
      </c>
    </row>
    <row r="646">
      <c r="A646" s="4" t="inlineStr">
        <is>
          <t>Лиды 2</t>
        </is>
      </c>
      <c r="B646" s="5" t="n">
        <v>0</v>
      </c>
    </row>
    <row r="647">
      <c r="A647" s="6" t="inlineStr">
        <is>
          <t>Стоимость Лида 2</t>
        </is>
      </c>
      <c r="B647" s="9">
        <f>IFERROR(B648/B646,0)</f>
        <v/>
      </c>
    </row>
    <row r="648">
      <c r="A648" s="4" t="inlineStr">
        <is>
          <t>Рекламный бюджет</t>
        </is>
      </c>
      <c r="B648" s="10" t="n">
        <v>0</v>
      </c>
    </row>
    <row r="649">
      <c r="A649" s="4" t="inlineStr">
        <is>
          <t>Лиды 3</t>
        </is>
      </c>
      <c r="B649" s="5" t="n">
        <v>0</v>
      </c>
    </row>
    <row r="650">
      <c r="A650" s="6" t="inlineStr">
        <is>
          <t>Стоимость Лида 3</t>
        </is>
      </c>
      <c r="B650" s="9">
        <f>IFERROR(B648/B649,0)</f>
        <v/>
      </c>
    </row>
    <row r="651">
      <c r="A651" s="4" t="inlineStr">
        <is>
          <t>ВП</t>
        </is>
      </c>
      <c r="B651" s="10" t="n">
        <v>0</v>
      </c>
    </row>
    <row r="652">
      <c r="A652" s="4" t="inlineStr">
        <is>
          <t>Продажи</t>
        </is>
      </c>
      <c r="B652" s="5" t="n">
        <v>0</v>
      </c>
    </row>
    <row r="653">
      <c r="A653" s="6" t="inlineStr">
        <is>
          <t>Средний чек</t>
        </is>
      </c>
      <c r="B653" s="9">
        <f>IFERROR(B651/B652,0)</f>
        <v/>
      </c>
    </row>
    <row r="655">
      <c r="A655" s="15" t="inlineStr">
        <is>
          <t>Не привязано к кампании</t>
        </is>
      </c>
      <c r="B655" s="16">
        <f>B$1</f>
        <v/>
      </c>
    </row>
    <row r="656">
      <c r="A656" s="4" t="inlineStr">
        <is>
          <t>Показы</t>
        </is>
      </c>
      <c r="B656" s="5" t="n">
        <v>0</v>
      </c>
    </row>
    <row r="657">
      <c r="A657" s="4" t="inlineStr">
        <is>
          <t>Визиты</t>
        </is>
      </c>
      <c r="B657" s="5" t="n">
        <v>2</v>
      </c>
    </row>
    <row r="658">
      <c r="A658" s="6" t="inlineStr">
        <is>
          <t>CTR</t>
        </is>
      </c>
      <c r="B658" s="7">
        <f>IFERROR(B657/B656,0)</f>
        <v/>
      </c>
    </row>
    <row r="659">
      <c r="A659" s="6" t="inlineStr">
        <is>
          <t>CPC</t>
        </is>
      </c>
      <c r="B659" s="8">
        <f>IFERROR(B665/B657,0)</f>
        <v/>
      </c>
    </row>
    <row r="660">
      <c r="A660" s="6" t="inlineStr">
        <is>
          <t>Конверсия в заявку</t>
        </is>
      </c>
      <c r="B660" s="7">
        <f>IFERROR(B661/B657,0)</f>
        <v/>
      </c>
    </row>
    <row r="661">
      <c r="A661" s="4" t="inlineStr">
        <is>
          <t>Лид 1</t>
        </is>
      </c>
      <c r="B661" s="5" t="n">
        <v>2</v>
      </c>
    </row>
    <row r="662">
      <c r="A662" s="6" t="inlineStr">
        <is>
          <t>Стоимость Лида 1</t>
        </is>
      </c>
      <c r="B662" s="9">
        <f>IFERROR(B665/B661,0)</f>
        <v/>
      </c>
    </row>
    <row r="663">
      <c r="A663" s="4" t="inlineStr">
        <is>
          <t>Лиды 2</t>
        </is>
      </c>
      <c r="B663" s="5" t="n">
        <v>2</v>
      </c>
    </row>
    <row r="664">
      <c r="A664" s="6" t="inlineStr">
        <is>
          <t>Стоимость Лида 2</t>
        </is>
      </c>
      <c r="B664" s="9">
        <f>IFERROR(B665/B663,0)</f>
        <v/>
      </c>
    </row>
    <row r="665">
      <c r="A665" s="4" t="inlineStr">
        <is>
          <t>Рекламный бюджет</t>
        </is>
      </c>
      <c r="B665" s="10" t="n">
        <v>0</v>
      </c>
    </row>
    <row r="666">
      <c r="A666" s="4" t="inlineStr">
        <is>
          <t>Лиды 3</t>
        </is>
      </c>
      <c r="B666" s="5" t="n">
        <v>0</v>
      </c>
    </row>
    <row r="667">
      <c r="A667" s="6" t="inlineStr">
        <is>
          <t>Стоимость Лида 3</t>
        </is>
      </c>
      <c r="B667" s="9">
        <f>IFERROR(B665/B666,0)</f>
        <v/>
      </c>
    </row>
    <row r="668">
      <c r="A668" s="4" t="inlineStr">
        <is>
          <t>ВП</t>
        </is>
      </c>
      <c r="B668" s="10" t="n">
        <v>0</v>
      </c>
    </row>
    <row r="669">
      <c r="A669" s="4" t="inlineStr">
        <is>
          <t>Продажи</t>
        </is>
      </c>
      <c r="B669" s="5" t="n">
        <v>0</v>
      </c>
    </row>
    <row r="670">
      <c r="A670" s="6" t="inlineStr">
        <is>
          <t>Средний чек</t>
        </is>
      </c>
      <c r="B670" s="9">
        <f>IFERROR(B668/B669,0)</f>
        <v/>
      </c>
    </row>
    <row r="673">
      <c r="A673" s="13" t="inlineStr">
        <is>
          <t>ENGER-AIR.RU</t>
        </is>
      </c>
      <c r="B673" s="14" t="n"/>
    </row>
    <row r="674">
      <c r="A674" s="15" t="inlineStr">
        <is>
          <t>Общие</t>
        </is>
      </c>
      <c r="B674" s="16">
        <f>B$1</f>
        <v/>
      </c>
    </row>
    <row r="675">
      <c r="A675" s="4" t="inlineStr">
        <is>
          <t>Показы</t>
        </is>
      </c>
      <c r="B675" s="5">
        <f>B695+B712+B729+B746+B763+B780+B797+B814+B831+B848+B865</f>
        <v/>
      </c>
    </row>
    <row r="676">
      <c r="A676" s="4" t="inlineStr">
        <is>
          <t>Визиты</t>
        </is>
      </c>
      <c r="B676" s="5">
        <f>B696+B713+B730+B747+B764+B781+B798+B815+B832+B849+B866</f>
        <v/>
      </c>
    </row>
    <row r="677">
      <c r="A677" s="6" t="inlineStr">
        <is>
          <t>CTR</t>
        </is>
      </c>
      <c r="B677" s="7">
        <f>IFERROR(B676/B675,0)</f>
        <v/>
      </c>
    </row>
    <row r="678">
      <c r="A678" s="6" t="inlineStr">
        <is>
          <t>CPC</t>
        </is>
      </c>
      <c r="B678" s="8">
        <f>IFERROR(B684/B676,0)</f>
        <v/>
      </c>
    </row>
    <row r="679">
      <c r="A679" s="6" t="inlineStr">
        <is>
          <t>Конверсия в заявку</t>
        </is>
      </c>
      <c r="B679" s="7">
        <f>IFERROR(B680/B676,0)</f>
        <v/>
      </c>
    </row>
    <row r="680">
      <c r="A680" s="4" t="inlineStr">
        <is>
          <t>Лид 1</t>
        </is>
      </c>
      <c r="B680" s="5">
        <f>B700+B717+B734+B751+B768+B785+B802+B819+B836+B853+B870</f>
        <v/>
      </c>
    </row>
    <row r="681">
      <c r="A681" s="6" t="inlineStr">
        <is>
          <t>Стоимость Лида 1</t>
        </is>
      </c>
      <c r="B681" s="9">
        <f>IFERROR(B684/B680,0)</f>
        <v/>
      </c>
    </row>
    <row r="682">
      <c r="A682" s="4" t="inlineStr">
        <is>
          <t>Лиды 2</t>
        </is>
      </c>
      <c r="B682" s="5">
        <f>B702+B719+B736+B753+B770+B787+B804+B821+B838+B855+B872</f>
        <v/>
      </c>
    </row>
    <row r="683">
      <c r="A683" s="6" t="inlineStr">
        <is>
          <t>Стоимость Лида 2</t>
        </is>
      </c>
      <c r="B683" s="9">
        <f>IFERROR(B684/B682,0)</f>
        <v/>
      </c>
    </row>
    <row r="684">
      <c r="A684" s="4" t="inlineStr">
        <is>
          <t>Рекламный бюджет</t>
        </is>
      </c>
      <c r="B684" s="10">
        <f>B704+B721+B738+B755+B772+B789+B806+B823+B840+B857+B874</f>
        <v/>
      </c>
    </row>
    <row r="685">
      <c r="A685" s="4" t="inlineStr">
        <is>
          <t>Лиды 3</t>
        </is>
      </c>
      <c r="B685" s="5">
        <f>B705+B722+B739+B756+B773+B790+B807+B824+B841+B858+B875</f>
        <v/>
      </c>
    </row>
    <row r="686">
      <c r="A686" s="6" t="inlineStr">
        <is>
          <t>Стоимость Лида 3</t>
        </is>
      </c>
      <c r="B686" s="9">
        <f>IFERROR(B684/B685,0)</f>
        <v/>
      </c>
    </row>
    <row r="687">
      <c r="A687" s="4" t="inlineStr">
        <is>
          <t>ВП</t>
        </is>
      </c>
      <c r="B687" s="10">
        <f>B707+B724+B741+B758+B775+B792+B809+B826+B843+B860+B877</f>
        <v/>
      </c>
    </row>
    <row r="688">
      <c r="A688" s="4" t="inlineStr">
        <is>
          <t>Продажи</t>
        </is>
      </c>
      <c r="B688" s="5">
        <f>B708+B725+B742+B759+B776+B793+B810+B827+B844+B861+B878</f>
        <v/>
      </c>
    </row>
    <row r="689">
      <c r="A689" s="6" t="inlineStr">
        <is>
          <t>Средний чек</t>
        </is>
      </c>
      <c r="B689" s="9">
        <f>IFERROR(B687/B688,0)</f>
        <v/>
      </c>
    </row>
    <row r="691">
      <c r="A691" s="11" t="inlineStr">
        <is>
          <t>Вывод по сделкам за неделю</t>
        </is>
      </c>
    </row>
    <row r="692" ht="60" customHeight="1">
      <c r="A692" s="12" t="inlineStr">
        <is>
          <t>За неделю создано 4 сделки: 1 сделка на 5,5 кВт, 1 сделка на 15 кВт, 1 сделка на 30 кВт и в 1 сделке мощность не заполнена. В работе 4 сделки, успешно завершённых нет, проваленных нет. В сделках в работе: 1 МКС на 30 кВт, 1 МКС без указания мощности, 1 винтовой компрессор на 5,5 кВт и 1 винтовой компрессор на 15 кВт. Ориентировочная сумма активных сделок — 2,7 млн руб (сумма заполнена у 2 из 4 сделок).</t>
        </is>
      </c>
    </row>
    <row r="694">
      <c r="A694" s="15" t="inlineStr">
        <is>
          <t>[Общие запросы] - Поиск</t>
        </is>
      </c>
      <c r="B694" s="16">
        <f>B$1</f>
        <v/>
      </c>
    </row>
    <row r="695">
      <c r="A695" s="4" t="inlineStr">
        <is>
          <t>Показы</t>
        </is>
      </c>
      <c r="B695" s="5" t="n">
        <v>3048</v>
      </c>
    </row>
    <row r="696">
      <c r="A696" s="4" t="inlineStr">
        <is>
          <t>Визиты</t>
        </is>
      </c>
      <c r="B696" s="5" t="n">
        <v>297</v>
      </c>
    </row>
    <row r="697">
      <c r="A697" s="6" t="inlineStr">
        <is>
          <t>CTR</t>
        </is>
      </c>
      <c r="B697" s="7">
        <f>IFERROR(B696/B695,0)</f>
        <v/>
      </c>
    </row>
    <row r="698">
      <c r="A698" s="6" t="inlineStr">
        <is>
          <t>CPC</t>
        </is>
      </c>
      <c r="B698" s="8">
        <f>IFERROR(B704/B696,0)</f>
        <v/>
      </c>
    </row>
    <row r="699">
      <c r="A699" s="6" t="inlineStr">
        <is>
          <t>Конверсия в заявку</t>
        </is>
      </c>
      <c r="B699" s="7">
        <f>IFERROR(B700/B696,0)</f>
        <v/>
      </c>
    </row>
    <row r="700">
      <c r="A700" s="4" t="inlineStr">
        <is>
          <t>Лид 1</t>
        </is>
      </c>
      <c r="B700" s="5" t="n">
        <v>0</v>
      </c>
    </row>
    <row r="701">
      <c r="A701" s="6" t="inlineStr">
        <is>
          <t>Стоимость Лида 1</t>
        </is>
      </c>
      <c r="B701" s="9">
        <f>IFERROR(B704/B700,0)</f>
        <v/>
      </c>
    </row>
    <row r="702">
      <c r="A702" s="4" t="inlineStr">
        <is>
          <t>Лиды 2</t>
        </is>
      </c>
      <c r="B702" s="5" t="n">
        <v>0</v>
      </c>
    </row>
    <row r="703">
      <c r="A703" s="6" t="inlineStr">
        <is>
          <t>Стоимость Лида 2</t>
        </is>
      </c>
      <c r="B703" s="9">
        <f>IFERROR(B704/B702,0)</f>
        <v/>
      </c>
    </row>
    <row r="704">
      <c r="A704" s="4" t="inlineStr">
        <is>
          <t>Рекламный бюджет</t>
        </is>
      </c>
      <c r="B704" s="10" t="n">
        <v>57389.78160000002</v>
      </c>
    </row>
    <row r="705">
      <c r="A705" s="4" t="inlineStr">
        <is>
          <t>Лиды 3</t>
        </is>
      </c>
      <c r="B705" s="5" t="n">
        <v>0</v>
      </c>
    </row>
    <row r="706">
      <c r="A706" s="6" t="inlineStr">
        <is>
          <t>Стоимость Лида 3</t>
        </is>
      </c>
      <c r="B706" s="9">
        <f>IFERROR(B704/B705,0)</f>
        <v/>
      </c>
    </row>
    <row r="707">
      <c r="A707" s="4" t="inlineStr">
        <is>
          <t>ВП</t>
        </is>
      </c>
      <c r="B707" s="10" t="n">
        <v>0</v>
      </c>
    </row>
    <row r="708">
      <c r="A708" s="4" t="inlineStr">
        <is>
          <t>Продажи</t>
        </is>
      </c>
      <c r="B708" s="5" t="n">
        <v>0</v>
      </c>
    </row>
    <row r="709">
      <c r="A709" s="6" t="inlineStr">
        <is>
          <t>Средний чек</t>
        </is>
      </c>
      <c r="B709" s="9">
        <f>IFERROR(B707/B708,0)</f>
        <v/>
      </c>
    </row>
    <row r="711">
      <c r="A711" s="15" t="inlineStr">
        <is>
          <t>[Товарка] enger-air.ru от 20.08.26</t>
        </is>
      </c>
      <c r="B711" s="16">
        <f>B$1</f>
        <v/>
      </c>
    </row>
    <row r="712">
      <c r="A712" s="4" t="inlineStr">
        <is>
          <t>Показы</t>
        </is>
      </c>
      <c r="B712" s="5" t="n">
        <v>998043</v>
      </c>
    </row>
    <row r="713">
      <c r="A713" s="4" t="inlineStr">
        <is>
          <t>Визиты</t>
        </is>
      </c>
      <c r="B713" s="5" t="n">
        <v>14848</v>
      </c>
    </row>
    <row r="714">
      <c r="A714" s="6" t="inlineStr">
        <is>
          <t>CTR</t>
        </is>
      </c>
      <c r="B714" s="7">
        <f>IFERROR(B713/B712,0)</f>
        <v/>
      </c>
    </row>
    <row r="715">
      <c r="A715" s="6" t="inlineStr">
        <is>
          <t>CPC</t>
        </is>
      </c>
      <c r="B715" s="8">
        <f>IFERROR(B721/B713,0)</f>
        <v/>
      </c>
    </row>
    <row r="716">
      <c r="A716" s="6" t="inlineStr">
        <is>
          <t>Конверсия в заявку</t>
        </is>
      </c>
      <c r="B716" s="7">
        <f>IFERROR(B717/B713,0)</f>
        <v/>
      </c>
    </row>
    <row r="717">
      <c r="A717" s="4" t="inlineStr">
        <is>
          <t>Лид 1</t>
        </is>
      </c>
      <c r="B717" s="5" t="n">
        <v>12</v>
      </c>
    </row>
    <row r="718">
      <c r="A718" s="6" t="inlineStr">
        <is>
          <t>Стоимость Лида 1</t>
        </is>
      </c>
      <c r="B718" s="9">
        <f>IFERROR(B721/B717,0)</f>
        <v/>
      </c>
    </row>
    <row r="719">
      <c r="A719" s="4" t="inlineStr">
        <is>
          <t>Лиды 2</t>
        </is>
      </c>
      <c r="B719" s="5" t="n">
        <v>6</v>
      </c>
    </row>
    <row r="720">
      <c r="A720" s="6" t="inlineStr">
        <is>
          <t>Стоимость Лида 2</t>
        </is>
      </c>
      <c r="B720" s="9">
        <f>IFERROR(B721/B719,0)</f>
        <v/>
      </c>
    </row>
    <row r="721">
      <c r="A721" s="4" t="inlineStr">
        <is>
          <t>Рекламный бюджет</t>
        </is>
      </c>
      <c r="B721" s="10" t="n">
        <v>54042.14400000057</v>
      </c>
    </row>
    <row r="722">
      <c r="A722" s="4" t="inlineStr">
        <is>
          <t>Лиды 3</t>
        </is>
      </c>
      <c r="B722" s="5" t="n">
        <v>1</v>
      </c>
    </row>
    <row r="723">
      <c r="A723" s="6" t="inlineStr">
        <is>
          <t>Стоимость Лида 3</t>
        </is>
      </c>
      <c r="B723" s="9">
        <f>IFERROR(B721/B722,0)</f>
        <v/>
      </c>
    </row>
    <row r="724">
      <c r="A724" s="4" t="inlineStr">
        <is>
          <t>ВП</t>
        </is>
      </c>
      <c r="B724" s="10" t="n">
        <v>0</v>
      </c>
    </row>
    <row r="725">
      <c r="A725" s="4" t="inlineStr">
        <is>
          <t>Продажи</t>
        </is>
      </c>
      <c r="B725" s="5" t="n">
        <v>0</v>
      </c>
    </row>
    <row r="726">
      <c r="A726" s="6" t="inlineStr">
        <is>
          <t>Средний чек</t>
        </is>
      </c>
      <c r="B726" s="9">
        <f>IFERROR(B724/B725,0)</f>
        <v/>
      </c>
    </row>
    <row r="728">
      <c r="A728" s="15" t="inlineStr">
        <is>
          <t>[Модульные] - Поиск</t>
        </is>
      </c>
      <c r="B728" s="16">
        <f>B$1</f>
        <v/>
      </c>
    </row>
    <row r="729">
      <c r="A729" s="4" t="inlineStr">
        <is>
          <t>Показы</t>
        </is>
      </c>
      <c r="B729" s="5" t="n">
        <v>237</v>
      </c>
    </row>
    <row r="730">
      <c r="A730" s="4" t="inlineStr">
        <is>
          <t>Визиты</t>
        </is>
      </c>
      <c r="B730" s="5" t="n">
        <v>45</v>
      </c>
    </row>
    <row r="731">
      <c r="A731" s="6" t="inlineStr">
        <is>
          <t>CTR</t>
        </is>
      </c>
      <c r="B731" s="7">
        <f>IFERROR(B730/B729,0)</f>
        <v/>
      </c>
    </row>
    <row r="732">
      <c r="A732" s="6" t="inlineStr">
        <is>
          <t>CPC</t>
        </is>
      </c>
      <c r="B732" s="8">
        <f>IFERROR(B738/B730,0)</f>
        <v/>
      </c>
    </row>
    <row r="733">
      <c r="A733" s="6" t="inlineStr">
        <is>
          <t>Конверсия в заявку</t>
        </is>
      </c>
      <c r="B733" s="7">
        <f>IFERROR(B734/B730,0)</f>
        <v/>
      </c>
    </row>
    <row r="734">
      <c r="A734" s="4" t="inlineStr">
        <is>
          <t>Лид 1</t>
        </is>
      </c>
      <c r="B734" s="5" t="n">
        <v>3</v>
      </c>
    </row>
    <row r="735">
      <c r="A735" s="6" t="inlineStr">
        <is>
          <t>Стоимость Лида 1</t>
        </is>
      </c>
      <c r="B735" s="9">
        <f>IFERROR(B738/B734,0)</f>
        <v/>
      </c>
    </row>
    <row r="736">
      <c r="A736" s="4" t="inlineStr">
        <is>
          <t>Лиды 2</t>
        </is>
      </c>
      <c r="B736" s="5" t="n">
        <v>2</v>
      </c>
    </row>
    <row r="737">
      <c r="A737" s="6" t="inlineStr">
        <is>
          <t>Стоимость Лида 2</t>
        </is>
      </c>
      <c r="B737" s="9">
        <f>IFERROR(B738/B736,0)</f>
        <v/>
      </c>
    </row>
    <row r="738">
      <c r="A738" s="4" t="inlineStr">
        <is>
          <t>Рекламный бюджет</t>
        </is>
      </c>
      <c r="B738" s="10" t="n">
        <v>30033.432</v>
      </c>
    </row>
    <row r="739">
      <c r="A739" s="4" t="inlineStr">
        <is>
          <t>Лиды 3</t>
        </is>
      </c>
      <c r="B739" s="5" t="n">
        <v>2</v>
      </c>
    </row>
    <row r="740">
      <c r="A740" s="6" t="inlineStr">
        <is>
          <t>Стоимость Лида 3</t>
        </is>
      </c>
      <c r="B740" s="9">
        <f>IFERROR(B738/B739,0)</f>
        <v/>
      </c>
    </row>
    <row r="741">
      <c r="A741" s="4" t="inlineStr">
        <is>
          <t>ВП</t>
        </is>
      </c>
      <c r="B741" s="10" t="n">
        <v>0</v>
      </c>
    </row>
    <row r="742">
      <c r="A742" s="4" t="inlineStr">
        <is>
          <t>Продажи</t>
        </is>
      </c>
      <c r="B742" s="5" t="n">
        <v>0</v>
      </c>
    </row>
    <row r="743">
      <c r="A743" s="6" t="inlineStr">
        <is>
          <t>Средний чек</t>
        </is>
      </c>
      <c r="B743" s="9">
        <f>IFERROR(B741/B742,0)</f>
        <v/>
      </c>
    </row>
    <row r="745">
      <c r="A745" s="15" t="inlineStr">
        <is>
          <t>[МК] Квиз от 30.07.26</t>
        </is>
      </c>
      <c r="B745" s="16">
        <f>B$1</f>
        <v/>
      </c>
    </row>
    <row r="746">
      <c r="A746" s="4" t="inlineStr">
        <is>
          <t>Показы</t>
        </is>
      </c>
      <c r="B746" s="5" t="n">
        <v>24116</v>
      </c>
    </row>
    <row r="747">
      <c r="A747" s="4" t="inlineStr">
        <is>
          <t>Визиты</t>
        </is>
      </c>
      <c r="B747" s="5" t="n">
        <v>507</v>
      </c>
    </row>
    <row r="748">
      <c r="A748" s="6" t="inlineStr">
        <is>
          <t>CTR</t>
        </is>
      </c>
      <c r="B748" s="7">
        <f>IFERROR(B747/B746,0)</f>
        <v/>
      </c>
    </row>
    <row r="749">
      <c r="A749" s="6" t="inlineStr">
        <is>
          <t>CPC</t>
        </is>
      </c>
      <c r="B749" s="8">
        <f>IFERROR(B755/B747,0)</f>
        <v/>
      </c>
    </row>
    <row r="750">
      <c r="A750" s="6" t="inlineStr">
        <is>
          <t>Конверсия в заявку</t>
        </is>
      </c>
      <c r="B750" s="7">
        <f>IFERROR(B751/B747,0)</f>
        <v/>
      </c>
    </row>
    <row r="751">
      <c r="A751" s="4" t="inlineStr">
        <is>
          <t>Лид 1</t>
        </is>
      </c>
      <c r="B751" s="5" t="n">
        <v>1</v>
      </c>
    </row>
    <row r="752">
      <c r="A752" s="6" t="inlineStr">
        <is>
          <t>Стоимость Лида 1</t>
        </is>
      </c>
      <c r="B752" s="9">
        <f>IFERROR(B755/B751,0)</f>
        <v/>
      </c>
    </row>
    <row r="753">
      <c r="A753" s="4" t="inlineStr">
        <is>
          <t>Лиды 2</t>
        </is>
      </c>
      <c r="B753" s="5" t="n">
        <v>1</v>
      </c>
    </row>
    <row r="754">
      <c r="A754" s="6" t="inlineStr">
        <is>
          <t>Стоимость Лида 2</t>
        </is>
      </c>
      <c r="B754" s="9">
        <f>IFERROR(B755/B753,0)</f>
        <v/>
      </c>
    </row>
    <row r="755">
      <c r="A755" s="4" t="inlineStr">
        <is>
          <t>Рекламный бюджет</t>
        </is>
      </c>
      <c r="B755" s="10" t="n">
        <v>17955.76560000001</v>
      </c>
    </row>
    <row r="756">
      <c r="A756" s="4" t="inlineStr">
        <is>
          <t>Лиды 3</t>
        </is>
      </c>
      <c r="B756" s="5" t="n">
        <v>0</v>
      </c>
    </row>
    <row r="757">
      <c r="A757" s="6" t="inlineStr">
        <is>
          <t>Стоимость Лида 3</t>
        </is>
      </c>
      <c r="B757" s="9">
        <f>IFERROR(B755/B756,0)</f>
        <v/>
      </c>
    </row>
    <row r="758">
      <c r="A758" s="4" t="inlineStr">
        <is>
          <t>ВП</t>
        </is>
      </c>
      <c r="B758" s="10" t="n">
        <v>0</v>
      </c>
    </row>
    <row r="759">
      <c r="A759" s="4" t="inlineStr">
        <is>
          <t>Продажи</t>
        </is>
      </c>
      <c r="B759" s="5" t="n">
        <v>0</v>
      </c>
    </row>
    <row r="760">
      <c r="A760" s="6" t="inlineStr">
        <is>
          <t>Средний чек</t>
        </is>
      </c>
      <c r="B760" s="9">
        <f>IFERROR(B758/B759,0)</f>
        <v/>
      </c>
    </row>
    <row r="762">
      <c r="A762" s="15" t="inlineStr">
        <is>
          <t>[Поиск] Enger общий (запрос Enger)</t>
        </is>
      </c>
      <c r="B762" s="16">
        <f>B$1</f>
        <v/>
      </c>
    </row>
    <row r="763">
      <c r="A763" s="4" t="inlineStr">
        <is>
          <t>Показы</t>
        </is>
      </c>
      <c r="B763" s="5" t="n">
        <v>360</v>
      </c>
    </row>
    <row r="764">
      <c r="A764" s="4" t="inlineStr">
        <is>
          <t>Визиты</t>
        </is>
      </c>
      <c r="B764" s="5" t="n">
        <v>76</v>
      </c>
    </row>
    <row r="765">
      <c r="A765" s="6" t="inlineStr">
        <is>
          <t>CTR</t>
        </is>
      </c>
      <c r="B765" s="7">
        <f>IFERROR(B764/B763,0)</f>
        <v/>
      </c>
    </row>
    <row r="766">
      <c r="A766" s="6" t="inlineStr">
        <is>
          <t>CPC</t>
        </is>
      </c>
      <c r="B766" s="8">
        <f>IFERROR(B772/B764,0)</f>
        <v/>
      </c>
    </row>
    <row r="767">
      <c r="A767" s="6" t="inlineStr">
        <is>
          <t>Конверсия в заявку</t>
        </is>
      </c>
      <c r="B767" s="7">
        <f>IFERROR(B768/B764,0)</f>
        <v/>
      </c>
    </row>
    <row r="768">
      <c r="A768" s="4" t="inlineStr">
        <is>
          <t>Лид 1</t>
        </is>
      </c>
      <c r="B768" s="5" t="n">
        <v>3</v>
      </c>
    </row>
    <row r="769">
      <c r="A769" s="6" t="inlineStr">
        <is>
          <t>Стоимость Лида 1</t>
        </is>
      </c>
      <c r="B769" s="9">
        <f>IFERROR(B772/B768,0)</f>
        <v/>
      </c>
    </row>
    <row r="770">
      <c r="A770" s="4" t="inlineStr">
        <is>
          <t>Лиды 2</t>
        </is>
      </c>
      <c r="B770" s="5" t="n">
        <v>2</v>
      </c>
    </row>
    <row r="771">
      <c r="A771" s="6" t="inlineStr">
        <is>
          <t>Стоимость Лида 2</t>
        </is>
      </c>
      <c r="B771" s="9">
        <f>IFERROR(B772/B770,0)</f>
        <v/>
      </c>
    </row>
    <row r="772">
      <c r="A772" s="4" t="inlineStr">
        <is>
          <t>Рекламный бюджет</t>
        </is>
      </c>
      <c r="B772" s="10" t="n">
        <v>7757.076</v>
      </c>
    </row>
    <row r="773">
      <c r="A773" s="4" t="inlineStr">
        <is>
          <t>Лиды 3</t>
        </is>
      </c>
      <c r="B773" s="5" t="n">
        <v>1</v>
      </c>
    </row>
    <row r="774">
      <c r="A774" s="6" t="inlineStr">
        <is>
          <t>Стоимость Лида 3</t>
        </is>
      </c>
      <c r="B774" s="9">
        <f>IFERROR(B772/B773,0)</f>
        <v/>
      </c>
    </row>
    <row r="775">
      <c r="A775" s="4" t="inlineStr">
        <is>
          <t>ВП</t>
        </is>
      </c>
      <c r="B775" s="10" t="n">
        <v>0</v>
      </c>
    </row>
    <row r="776">
      <c r="A776" s="4" t="inlineStr">
        <is>
          <t>Продажи</t>
        </is>
      </c>
      <c r="B776" s="5" t="n">
        <v>0</v>
      </c>
    </row>
    <row r="777">
      <c r="A777" s="6" t="inlineStr">
        <is>
          <t>Средний чек</t>
        </is>
      </c>
      <c r="B777" s="9">
        <f>IFERROR(B775/B776,0)</f>
        <v/>
      </c>
    </row>
    <row r="779">
      <c r="A779" s="15" t="inlineStr">
        <is>
          <t>713710841</t>
        </is>
      </c>
      <c r="B779" s="16">
        <f>B$1</f>
        <v/>
      </c>
    </row>
    <row r="780">
      <c r="A780" s="4" t="inlineStr">
        <is>
          <t>Показы</t>
        </is>
      </c>
      <c r="B780" s="5" t="n">
        <v>0</v>
      </c>
    </row>
    <row r="781">
      <c r="A781" s="4" t="inlineStr">
        <is>
          <t>Визиты</t>
        </is>
      </c>
      <c r="B781" s="5" t="n">
        <v>1</v>
      </c>
    </row>
    <row r="782">
      <c r="A782" s="6" t="inlineStr">
        <is>
          <t>CTR</t>
        </is>
      </c>
      <c r="B782" s="7">
        <f>IFERROR(B781/B780,0)</f>
        <v/>
      </c>
    </row>
    <row r="783">
      <c r="A783" s="6" t="inlineStr">
        <is>
          <t>CPC</t>
        </is>
      </c>
      <c r="B783" s="8">
        <f>IFERROR(B789/B781,0)</f>
        <v/>
      </c>
    </row>
    <row r="784">
      <c r="A784" s="6" t="inlineStr">
        <is>
          <t>Конверсия в заявку</t>
        </is>
      </c>
      <c r="B784" s="7">
        <f>IFERROR(B785/B781,0)</f>
        <v/>
      </c>
    </row>
    <row r="785">
      <c r="A785" s="4" t="inlineStr">
        <is>
          <t>Лид 1</t>
        </is>
      </c>
      <c r="B785" s="5" t="n">
        <v>0</v>
      </c>
    </row>
    <row r="786">
      <c r="A786" s="6" t="inlineStr">
        <is>
          <t>Стоимость Лида 1</t>
        </is>
      </c>
      <c r="B786" s="9">
        <f>IFERROR(B789/B785,0)</f>
        <v/>
      </c>
    </row>
    <row r="787">
      <c r="A787" s="4" t="inlineStr">
        <is>
          <t>Лиды 2</t>
        </is>
      </c>
      <c r="B787" s="5" t="n">
        <v>0</v>
      </c>
    </row>
    <row r="788">
      <c r="A788" s="6" t="inlineStr">
        <is>
          <t>Стоимость Лида 2</t>
        </is>
      </c>
      <c r="B788" s="9">
        <f>IFERROR(B789/B787,0)</f>
        <v/>
      </c>
    </row>
    <row r="789">
      <c r="A789" s="4" t="inlineStr">
        <is>
          <t>Рекламный бюджет</t>
        </is>
      </c>
      <c r="B789" s="10" t="n">
        <v>0</v>
      </c>
    </row>
    <row r="790">
      <c r="A790" s="4" t="inlineStr">
        <is>
          <t>Лиды 3</t>
        </is>
      </c>
      <c r="B790" s="5" t="n">
        <v>0</v>
      </c>
    </row>
    <row r="791">
      <c r="A791" s="6" t="inlineStr">
        <is>
          <t>Стоимость Лида 3</t>
        </is>
      </c>
      <c r="B791" s="9">
        <f>IFERROR(B789/B790,0)</f>
        <v/>
      </c>
    </row>
    <row r="792">
      <c r="A792" s="4" t="inlineStr">
        <is>
          <t>ВП</t>
        </is>
      </c>
      <c r="B792" s="10" t="n">
        <v>0</v>
      </c>
    </row>
    <row r="793">
      <c r="A793" s="4" t="inlineStr">
        <is>
          <t>Продажи</t>
        </is>
      </c>
      <c r="B793" s="5" t="n">
        <v>0</v>
      </c>
    </row>
    <row r="794">
      <c r="A794" s="6" t="inlineStr">
        <is>
          <t>Средний чек</t>
        </is>
      </c>
      <c r="B794" s="9">
        <f>IFERROR(B792/B793,0)</f>
        <v/>
      </c>
    </row>
    <row r="796">
      <c r="A796" s="15" t="inlineStr">
        <is>
          <t>[РСЯ] Enger</t>
        </is>
      </c>
      <c r="B796" s="16">
        <f>B$1</f>
        <v/>
      </c>
    </row>
    <row r="797">
      <c r="A797" s="4" t="inlineStr">
        <is>
          <t>Показы</t>
        </is>
      </c>
      <c r="B797" s="5" t="n">
        <v>196061</v>
      </c>
    </row>
    <row r="798">
      <c r="A798" s="4" t="inlineStr">
        <is>
          <t>Визиты</t>
        </is>
      </c>
      <c r="B798" s="5" t="n">
        <v>2560</v>
      </c>
    </row>
    <row r="799">
      <c r="A799" s="6" t="inlineStr">
        <is>
          <t>CTR</t>
        </is>
      </c>
      <c r="B799" s="7">
        <f>IFERROR(B798/B797,0)</f>
        <v/>
      </c>
    </row>
    <row r="800">
      <c r="A800" s="6" t="inlineStr">
        <is>
          <t>CPC</t>
        </is>
      </c>
      <c r="B800" s="8">
        <f>IFERROR(B806/B798,0)</f>
        <v/>
      </c>
    </row>
    <row r="801">
      <c r="A801" s="6" t="inlineStr">
        <is>
          <t>Конверсия в заявку</t>
        </is>
      </c>
      <c r="B801" s="7">
        <f>IFERROR(B802/B798,0)</f>
        <v/>
      </c>
    </row>
    <row r="802">
      <c r="A802" s="4" t="inlineStr">
        <is>
          <t>Лид 1</t>
        </is>
      </c>
      <c r="B802" s="5" t="n">
        <v>1</v>
      </c>
    </row>
    <row r="803">
      <c r="A803" s="6" t="inlineStr">
        <is>
          <t>Стоимость Лида 1</t>
        </is>
      </c>
      <c r="B803" s="9">
        <f>IFERROR(B806/B802,0)</f>
        <v/>
      </c>
    </row>
    <row r="804">
      <c r="A804" s="4" t="inlineStr">
        <is>
          <t>Лиды 2</t>
        </is>
      </c>
      <c r="B804" s="5" t="n">
        <v>1</v>
      </c>
    </row>
    <row r="805">
      <c r="A805" s="6" t="inlineStr">
        <is>
          <t>Стоимость Лида 2</t>
        </is>
      </c>
      <c r="B805" s="9">
        <f>IFERROR(B806/B804,0)</f>
        <v/>
      </c>
    </row>
    <row r="806">
      <c r="A806" s="4" t="inlineStr">
        <is>
          <t>Рекламный бюджет</t>
        </is>
      </c>
      <c r="B806" s="10" t="n">
        <v>0</v>
      </c>
    </row>
    <row r="807">
      <c r="A807" s="4" t="inlineStr">
        <is>
          <t>Лиды 3</t>
        </is>
      </c>
      <c r="B807" s="5" t="n">
        <v>0</v>
      </c>
    </row>
    <row r="808">
      <c r="A808" s="6" t="inlineStr">
        <is>
          <t>Стоимость Лида 3</t>
        </is>
      </c>
      <c r="B808" s="9">
        <f>IFERROR(B806/B807,0)</f>
        <v/>
      </c>
    </row>
    <row r="809">
      <c r="A809" s="4" t="inlineStr">
        <is>
          <t>ВП</t>
        </is>
      </c>
      <c r="B809" s="10" t="n">
        <v>0</v>
      </c>
    </row>
    <row r="810">
      <c r="A810" s="4" t="inlineStr">
        <is>
          <t>Продажи</t>
        </is>
      </c>
      <c r="B810" s="5" t="n">
        <v>0</v>
      </c>
    </row>
    <row r="811">
      <c r="A811" s="6" t="inlineStr">
        <is>
          <t>Средний чек</t>
        </is>
      </c>
      <c r="B811" s="9">
        <f>IFERROR(B809/B810,0)</f>
        <v/>
      </c>
    </row>
    <row r="813">
      <c r="A813" s="15" t="inlineStr">
        <is>
          <t>[Товарка] enger-air.ru от 03.04.26</t>
        </is>
      </c>
      <c r="B813" s="16">
        <f>B$1</f>
        <v/>
      </c>
    </row>
    <row r="814">
      <c r="A814" s="4" t="inlineStr">
        <is>
          <t>Показы</t>
        </is>
      </c>
      <c r="B814" s="5" t="n">
        <v>0</v>
      </c>
    </row>
    <row r="815">
      <c r="A815" s="4" t="inlineStr">
        <is>
          <t>Визиты</t>
        </is>
      </c>
      <c r="B815" s="5" t="n">
        <v>4</v>
      </c>
    </row>
    <row r="816">
      <c r="A816" s="6" t="inlineStr">
        <is>
          <t>CTR</t>
        </is>
      </c>
      <c r="B816" s="7">
        <f>IFERROR(B815/B814,0)</f>
        <v/>
      </c>
    </row>
    <row r="817">
      <c r="A817" s="6" t="inlineStr">
        <is>
          <t>CPC</t>
        </is>
      </c>
      <c r="B817" s="8">
        <f>IFERROR(B823/B815,0)</f>
        <v/>
      </c>
    </row>
    <row r="818">
      <c r="A818" s="6" t="inlineStr">
        <is>
          <t>Конверсия в заявку</t>
        </is>
      </c>
      <c r="B818" s="7">
        <f>IFERROR(B819/B815,0)</f>
        <v/>
      </c>
    </row>
    <row r="819">
      <c r="A819" s="4" t="inlineStr">
        <is>
          <t>Лид 1</t>
        </is>
      </c>
      <c r="B819" s="5" t="n">
        <v>0</v>
      </c>
    </row>
    <row r="820">
      <c r="A820" s="6" t="inlineStr">
        <is>
          <t>Стоимость Лида 1</t>
        </is>
      </c>
      <c r="B820" s="9">
        <f>IFERROR(B823/B819,0)</f>
        <v/>
      </c>
    </row>
    <row r="821">
      <c r="A821" s="4" t="inlineStr">
        <is>
          <t>Лиды 2</t>
        </is>
      </c>
      <c r="B821" s="5" t="n">
        <v>0</v>
      </c>
    </row>
    <row r="822">
      <c r="A822" s="6" t="inlineStr">
        <is>
          <t>Стоимость Лида 2</t>
        </is>
      </c>
      <c r="B822" s="9">
        <f>IFERROR(B823/B821,0)</f>
        <v/>
      </c>
    </row>
    <row r="823">
      <c r="A823" s="4" t="inlineStr">
        <is>
          <t>Рекламный бюджет</t>
        </is>
      </c>
      <c r="B823" s="10" t="n">
        <v>0</v>
      </c>
    </row>
    <row r="824">
      <c r="A824" s="4" t="inlineStr">
        <is>
          <t>Лиды 3</t>
        </is>
      </c>
      <c r="B824" s="5" t="n">
        <v>0</v>
      </c>
    </row>
    <row r="825">
      <c r="A825" s="6" t="inlineStr">
        <is>
          <t>Стоимость Лида 3</t>
        </is>
      </c>
      <c r="B825" s="9">
        <f>IFERROR(B823/B824,0)</f>
        <v/>
      </c>
    </row>
    <row r="826">
      <c r="A826" s="4" t="inlineStr">
        <is>
          <t>ВП</t>
        </is>
      </c>
      <c r="B826" s="10" t="n">
        <v>0</v>
      </c>
    </row>
    <row r="827">
      <c r="A827" s="4" t="inlineStr">
        <is>
          <t>Продажи</t>
        </is>
      </c>
      <c r="B827" s="5" t="n">
        <v>0</v>
      </c>
    </row>
    <row r="828">
      <c r="A828" s="6" t="inlineStr">
        <is>
          <t>Средний чек</t>
        </is>
      </c>
      <c r="B828" s="9">
        <f>IFERROR(B826/B827,0)</f>
        <v/>
      </c>
    </row>
    <row r="830">
      <c r="A830" s="15" t="inlineStr">
        <is>
          <t>[Товарка] enger-air.ru от 28.05.26</t>
        </is>
      </c>
      <c r="B830" s="16">
        <f>B$1</f>
        <v/>
      </c>
    </row>
    <row r="831">
      <c r="A831" s="4" t="inlineStr">
        <is>
          <t>Показы</t>
        </is>
      </c>
      <c r="B831" s="5" t="n">
        <v>0</v>
      </c>
    </row>
    <row r="832">
      <c r="A832" s="4" t="inlineStr">
        <is>
          <t>Визиты</t>
        </is>
      </c>
      <c r="B832" s="5" t="n">
        <v>72</v>
      </c>
    </row>
    <row r="833">
      <c r="A833" s="6" t="inlineStr">
        <is>
          <t>CTR</t>
        </is>
      </c>
      <c r="B833" s="7">
        <f>IFERROR(B832/B831,0)</f>
        <v/>
      </c>
    </row>
    <row r="834">
      <c r="A834" s="6" t="inlineStr">
        <is>
          <t>CPC</t>
        </is>
      </c>
      <c r="B834" s="8">
        <f>IFERROR(B840/B832,0)</f>
        <v/>
      </c>
    </row>
    <row r="835">
      <c r="A835" s="6" t="inlineStr">
        <is>
          <t>Конверсия в заявку</t>
        </is>
      </c>
      <c r="B835" s="7">
        <f>IFERROR(B836/B832,0)</f>
        <v/>
      </c>
    </row>
    <row r="836">
      <c r="A836" s="4" t="inlineStr">
        <is>
          <t>Лид 1</t>
        </is>
      </c>
      <c r="B836" s="5" t="n">
        <v>0</v>
      </c>
    </row>
    <row r="837">
      <c r="A837" s="6" t="inlineStr">
        <is>
          <t>Стоимость Лида 1</t>
        </is>
      </c>
      <c r="B837" s="9">
        <f>IFERROR(B840/B836,0)</f>
        <v/>
      </c>
    </row>
    <row r="838">
      <c r="A838" s="4" t="inlineStr">
        <is>
          <t>Лиды 2</t>
        </is>
      </c>
      <c r="B838" s="5" t="n">
        <v>0</v>
      </c>
    </row>
    <row r="839">
      <c r="A839" s="6" t="inlineStr">
        <is>
          <t>Стоимость Лида 2</t>
        </is>
      </c>
      <c r="B839" s="9">
        <f>IFERROR(B840/B838,0)</f>
        <v/>
      </c>
    </row>
    <row r="840">
      <c r="A840" s="4" t="inlineStr">
        <is>
          <t>Рекламный бюджет</t>
        </is>
      </c>
      <c r="B840" s="10" t="n">
        <v>0</v>
      </c>
    </row>
    <row r="841">
      <c r="A841" s="4" t="inlineStr">
        <is>
          <t>Лиды 3</t>
        </is>
      </c>
      <c r="B841" s="5" t="n">
        <v>0</v>
      </c>
    </row>
    <row r="842">
      <c r="A842" s="6" t="inlineStr">
        <is>
          <t>Стоимость Лида 3</t>
        </is>
      </c>
      <c r="B842" s="9">
        <f>IFERROR(B840/B841,0)</f>
        <v/>
      </c>
    </row>
    <row r="843">
      <c r="A843" s="4" t="inlineStr">
        <is>
          <t>ВП</t>
        </is>
      </c>
      <c r="B843" s="10" t="n">
        <v>0</v>
      </c>
    </row>
    <row r="844">
      <c r="A844" s="4" t="inlineStr">
        <is>
          <t>Продажи</t>
        </is>
      </c>
      <c r="B844" s="5" t="n">
        <v>0</v>
      </c>
    </row>
    <row r="845">
      <c r="A845" s="6" t="inlineStr">
        <is>
          <t>Средний чек</t>
        </is>
      </c>
      <c r="B845" s="9">
        <f>IFERROR(B843/B844,0)</f>
        <v/>
      </c>
    </row>
    <row r="847">
      <c r="A847" s="15" t="inlineStr">
        <is>
          <t>[Товарная кампания] - Компрессоры фид - МК</t>
        </is>
      </c>
      <c r="B847" s="16">
        <f>B$1</f>
        <v/>
      </c>
    </row>
    <row r="848">
      <c r="A848" s="4" t="inlineStr">
        <is>
          <t>Показы</t>
        </is>
      </c>
      <c r="B848" s="5" t="n">
        <v>0</v>
      </c>
    </row>
    <row r="849">
      <c r="A849" s="4" t="inlineStr">
        <is>
          <t>Визиты</t>
        </is>
      </c>
      <c r="B849" s="5" t="n">
        <v>1</v>
      </c>
    </row>
    <row r="850">
      <c r="A850" s="6" t="inlineStr">
        <is>
          <t>CTR</t>
        </is>
      </c>
      <c r="B850" s="7">
        <f>IFERROR(B849/B848,0)</f>
        <v/>
      </c>
    </row>
    <row r="851">
      <c r="A851" s="6" t="inlineStr">
        <is>
          <t>CPC</t>
        </is>
      </c>
      <c r="B851" s="8">
        <f>IFERROR(B857/B849,0)</f>
        <v/>
      </c>
    </row>
    <row r="852">
      <c r="A852" s="6" t="inlineStr">
        <is>
          <t>Конверсия в заявку</t>
        </is>
      </c>
      <c r="B852" s="7">
        <f>IFERROR(B853/B849,0)</f>
        <v/>
      </c>
    </row>
    <row r="853">
      <c r="A853" s="4" t="inlineStr">
        <is>
          <t>Лид 1</t>
        </is>
      </c>
      <c r="B853" s="5" t="n">
        <v>0</v>
      </c>
    </row>
    <row r="854">
      <c r="A854" s="6" t="inlineStr">
        <is>
          <t>Стоимость Лида 1</t>
        </is>
      </c>
      <c r="B854" s="9">
        <f>IFERROR(B857/B853,0)</f>
        <v/>
      </c>
    </row>
    <row r="855">
      <c r="A855" s="4" t="inlineStr">
        <is>
          <t>Лиды 2</t>
        </is>
      </c>
      <c r="B855" s="5" t="n">
        <v>0</v>
      </c>
    </row>
    <row r="856">
      <c r="A856" s="6" t="inlineStr">
        <is>
          <t>Стоимость Лида 2</t>
        </is>
      </c>
      <c r="B856" s="9">
        <f>IFERROR(B857/B855,0)</f>
        <v/>
      </c>
    </row>
    <row r="857">
      <c r="A857" s="4" t="inlineStr">
        <is>
          <t>Рекламный бюджет</t>
        </is>
      </c>
      <c r="B857" s="10" t="n">
        <v>0</v>
      </c>
    </row>
    <row r="858">
      <c r="A858" s="4" t="inlineStr">
        <is>
          <t>Лиды 3</t>
        </is>
      </c>
      <c r="B858" s="5" t="n">
        <v>0</v>
      </c>
    </row>
    <row r="859">
      <c r="A859" s="6" t="inlineStr">
        <is>
          <t>Стоимость Лида 3</t>
        </is>
      </c>
      <c r="B859" s="9">
        <f>IFERROR(B857/B858,0)</f>
        <v/>
      </c>
    </row>
    <row r="860">
      <c r="A860" s="4" t="inlineStr">
        <is>
          <t>ВП</t>
        </is>
      </c>
      <c r="B860" s="10" t="n">
        <v>0</v>
      </c>
    </row>
    <row r="861">
      <c r="A861" s="4" t="inlineStr">
        <is>
          <t>Продажи</t>
        </is>
      </c>
      <c r="B861" s="5" t="n">
        <v>0</v>
      </c>
    </row>
    <row r="862">
      <c r="A862" s="6" t="inlineStr">
        <is>
          <t>Средний чек</t>
        </is>
      </c>
      <c r="B862" s="9">
        <f>IFERROR(B860/B861,0)</f>
        <v/>
      </c>
    </row>
    <row r="864">
      <c r="A864" s="15" t="inlineStr">
        <is>
          <t>Не привязано к кампании</t>
        </is>
      </c>
      <c r="B864" s="16">
        <f>B$1</f>
        <v/>
      </c>
    </row>
    <row r="865">
      <c r="A865" s="4" t="inlineStr">
        <is>
          <t>Показы</t>
        </is>
      </c>
      <c r="B865" s="5" t="n">
        <v>0</v>
      </c>
    </row>
    <row r="866">
      <c r="A866" s="4" t="inlineStr">
        <is>
          <t>Визиты</t>
        </is>
      </c>
      <c r="B866" s="5" t="n">
        <v>2</v>
      </c>
    </row>
    <row r="867">
      <c r="A867" s="6" t="inlineStr">
        <is>
          <t>CTR</t>
        </is>
      </c>
      <c r="B867" s="7">
        <f>IFERROR(B866/B865,0)</f>
        <v/>
      </c>
    </row>
    <row r="868">
      <c r="A868" s="6" t="inlineStr">
        <is>
          <t>CPC</t>
        </is>
      </c>
      <c r="B868" s="8">
        <f>IFERROR(B874/B866,0)</f>
        <v/>
      </c>
    </row>
    <row r="869">
      <c r="A869" s="6" t="inlineStr">
        <is>
          <t>Конверсия в заявку</t>
        </is>
      </c>
      <c r="B869" s="7">
        <f>IFERROR(B870/B866,0)</f>
        <v/>
      </c>
    </row>
    <row r="870">
      <c r="A870" s="4" t="inlineStr">
        <is>
          <t>Лид 1</t>
        </is>
      </c>
      <c r="B870" s="5" t="n">
        <v>0</v>
      </c>
    </row>
    <row r="871">
      <c r="A871" s="6" t="inlineStr">
        <is>
          <t>Стоимость Лида 1</t>
        </is>
      </c>
      <c r="B871" s="9">
        <f>IFERROR(B874/B870,0)</f>
        <v/>
      </c>
    </row>
    <row r="872">
      <c r="A872" s="4" t="inlineStr">
        <is>
          <t>Лиды 2</t>
        </is>
      </c>
      <c r="B872" s="5" t="n">
        <v>0</v>
      </c>
    </row>
    <row r="873">
      <c r="A873" s="6" t="inlineStr">
        <is>
          <t>Стоимость Лида 2</t>
        </is>
      </c>
      <c r="B873" s="9">
        <f>IFERROR(B874/B872,0)</f>
        <v/>
      </c>
    </row>
    <row r="874">
      <c r="A874" s="4" t="inlineStr">
        <is>
          <t>Рекламный бюджет</t>
        </is>
      </c>
      <c r="B874" s="10" t="n">
        <v>0</v>
      </c>
    </row>
    <row r="875">
      <c r="A875" s="4" t="inlineStr">
        <is>
          <t>Лиды 3</t>
        </is>
      </c>
      <c r="B875" s="5" t="n">
        <v>0</v>
      </c>
    </row>
    <row r="876">
      <c r="A876" s="6" t="inlineStr">
        <is>
          <t>Стоимость Лида 3</t>
        </is>
      </c>
      <c r="B876" s="9">
        <f>IFERROR(B874/B875,0)</f>
        <v/>
      </c>
    </row>
    <row r="877">
      <c r="A877" s="4" t="inlineStr">
        <is>
          <t>ВП</t>
        </is>
      </c>
      <c r="B877" s="10" t="n">
        <v>0</v>
      </c>
    </row>
    <row r="878">
      <c r="A878" s="4" t="inlineStr">
        <is>
          <t>Продажи</t>
        </is>
      </c>
      <c r="B878" s="5" t="n">
        <v>0</v>
      </c>
    </row>
    <row r="879">
      <c r="A879" s="6" t="inlineStr">
        <is>
          <t>Средний чек</t>
        </is>
      </c>
      <c r="B879" s="9">
        <f>IFERROR(B877/B878,0)</f>
        <v/>
      </c>
    </row>
    <row r="882">
      <c r="A882" s="13" t="inlineStr">
        <is>
          <t>BERG-COMPRESSOR.COM</t>
        </is>
      </c>
      <c r="B882" s="14" t="n"/>
    </row>
    <row r="883">
      <c r="A883" s="15" t="inlineStr">
        <is>
          <t>Общие</t>
        </is>
      </c>
      <c r="B883" s="16">
        <f>B$1</f>
        <v/>
      </c>
    </row>
    <row r="884">
      <c r="A884" s="4" t="inlineStr">
        <is>
          <t>Показы</t>
        </is>
      </c>
      <c r="B884" s="5">
        <f>B904+B921+B938+B955+B972</f>
        <v/>
      </c>
    </row>
    <row r="885">
      <c r="A885" s="4" t="inlineStr">
        <is>
          <t>Визиты</t>
        </is>
      </c>
      <c r="B885" s="5">
        <f>B905+B922+B939+B956+B973</f>
        <v/>
      </c>
    </row>
    <row r="886">
      <c r="A886" s="6" t="inlineStr">
        <is>
          <t>CTR</t>
        </is>
      </c>
      <c r="B886" s="7">
        <f>IFERROR(B885/B884,0)</f>
        <v/>
      </c>
    </row>
    <row r="887">
      <c r="A887" s="6" t="inlineStr">
        <is>
          <t>CPC</t>
        </is>
      </c>
      <c r="B887" s="8">
        <f>IFERROR(B893/B885,0)</f>
        <v/>
      </c>
    </row>
    <row r="888">
      <c r="A888" s="6" t="inlineStr">
        <is>
          <t>Конверсия в заявку</t>
        </is>
      </c>
      <c r="B888" s="7">
        <f>IFERROR(B889/B885,0)</f>
        <v/>
      </c>
    </row>
    <row r="889">
      <c r="A889" s="4" t="inlineStr">
        <is>
          <t>Лид 1</t>
        </is>
      </c>
      <c r="B889" s="5">
        <f>B909+B926+B943+B960+B977</f>
        <v/>
      </c>
    </row>
    <row r="890">
      <c r="A890" s="6" t="inlineStr">
        <is>
          <t>Стоимость Лида 1</t>
        </is>
      </c>
      <c r="B890" s="9">
        <f>IFERROR(B893/B889,0)</f>
        <v/>
      </c>
    </row>
    <row r="891">
      <c r="A891" s="4" t="inlineStr">
        <is>
          <t>Лиды 2</t>
        </is>
      </c>
      <c r="B891" s="5">
        <f>B911+B928+B945+B962+B979</f>
        <v/>
      </c>
    </row>
    <row r="892">
      <c r="A892" s="6" t="inlineStr">
        <is>
          <t>Стоимость Лида 2</t>
        </is>
      </c>
      <c r="B892" s="9">
        <f>IFERROR(B893/B891,0)</f>
        <v/>
      </c>
    </row>
    <row r="893">
      <c r="A893" s="4" t="inlineStr">
        <is>
          <t>Рекламный бюджет</t>
        </is>
      </c>
      <c r="B893" s="10">
        <f>B913+B930+B947+B964+B981</f>
        <v/>
      </c>
    </row>
    <row r="894">
      <c r="A894" s="4" t="inlineStr">
        <is>
          <t>Лиды 3</t>
        </is>
      </c>
      <c r="B894" s="5">
        <f>B914+B931+B948+B965+B982</f>
        <v/>
      </c>
    </row>
    <row r="895">
      <c r="A895" s="6" t="inlineStr">
        <is>
          <t>Стоимость Лида 3</t>
        </is>
      </c>
      <c r="B895" s="9">
        <f>IFERROR(B893/B894,0)</f>
        <v/>
      </c>
    </row>
    <row r="896">
      <c r="A896" s="4" t="inlineStr">
        <is>
          <t>ВП</t>
        </is>
      </c>
      <c r="B896" s="10">
        <f>B916+B933+B950+B967+B984</f>
        <v/>
      </c>
    </row>
    <row r="897">
      <c r="A897" s="4" t="inlineStr">
        <is>
          <t>Продажи</t>
        </is>
      </c>
      <c r="B897" s="5">
        <f>B917+B934+B951+B968+B985</f>
        <v/>
      </c>
    </row>
    <row r="898">
      <c r="A898" s="6" t="inlineStr">
        <is>
          <t>Средний чек</t>
        </is>
      </c>
      <c r="B898" s="9">
        <f>IFERROR(B896/B897,0)</f>
        <v/>
      </c>
    </row>
    <row r="900">
      <c r="A900" s="11" t="inlineStr">
        <is>
          <t>Вывод по сделкам за неделю</t>
        </is>
      </c>
    </row>
    <row r="901" ht="60" customHeight="1">
      <c r="A901" s="12" t="inlineStr">
        <is>
          <t>За неделю создано 5 сделок: 1 сделка на 4 кВт, 1 сделка на 7,5 кВт, 1 сделка на 11 кВт, 1 сделка на 22 кВт и 1 сделка на 37 кВт. В работе 3 сделки, успешно завершённых нет, провалены 2. В сделках в работе: 1 винтовой компрессор на 4 кВт, 1 винтовой компрессор на 7,5 кВт и 1 винтовой компрессор на 37 кВт. Ориентировочная сумма активных сделок — 1,5 млн руб.</t>
        </is>
      </c>
    </row>
    <row r="903">
      <c r="A903" s="15" t="inlineStr">
        <is>
          <t>[Поиск и РСЯ] Товарная кампания berg-compressor.com от 25.12.25</t>
        </is>
      </c>
      <c r="B903" s="16">
        <f>B$1</f>
        <v/>
      </c>
    </row>
    <row r="904">
      <c r="A904" s="4" t="inlineStr">
        <is>
          <t>Показы</t>
        </is>
      </c>
      <c r="B904" s="5" t="n">
        <v>223705</v>
      </c>
    </row>
    <row r="905">
      <c r="A905" s="4" t="inlineStr">
        <is>
          <t>Визиты</t>
        </is>
      </c>
      <c r="B905" s="5" t="n">
        <v>9701</v>
      </c>
    </row>
    <row r="906">
      <c r="A906" s="6" t="inlineStr">
        <is>
          <t>CTR</t>
        </is>
      </c>
      <c r="B906" s="7">
        <f>IFERROR(B905/B904,0)</f>
        <v/>
      </c>
    </row>
    <row r="907">
      <c r="A907" s="6" t="inlineStr">
        <is>
          <t>CPC</t>
        </is>
      </c>
      <c r="B907" s="8">
        <f>IFERROR(B913/B905,0)</f>
        <v/>
      </c>
    </row>
    <row r="908">
      <c r="A908" s="6" t="inlineStr">
        <is>
          <t>Конверсия в заявку</t>
        </is>
      </c>
      <c r="B908" s="7">
        <f>IFERROR(B909/B905,0)</f>
        <v/>
      </c>
    </row>
    <row r="909">
      <c r="A909" s="4" t="inlineStr">
        <is>
          <t>Лид 1</t>
        </is>
      </c>
      <c r="B909" s="5" t="n">
        <v>14</v>
      </c>
    </row>
    <row r="910">
      <c r="A910" s="6" t="inlineStr">
        <is>
          <t>Стоимость Лида 1</t>
        </is>
      </c>
      <c r="B910" s="9">
        <f>IFERROR(B913/B909,0)</f>
        <v/>
      </c>
    </row>
    <row r="911">
      <c r="A911" s="4" t="inlineStr">
        <is>
          <t>Лиды 2</t>
        </is>
      </c>
      <c r="B911" s="5" t="n">
        <v>6</v>
      </c>
    </row>
    <row r="912">
      <c r="A912" s="6" t="inlineStr">
        <is>
          <t>Стоимость Лида 2</t>
        </is>
      </c>
      <c r="B912" s="9">
        <f>IFERROR(B913/B911,0)</f>
        <v/>
      </c>
    </row>
    <row r="913">
      <c r="A913" s="4" t="inlineStr">
        <is>
          <t>Рекламный бюджет</t>
        </is>
      </c>
      <c r="B913" s="10" t="n">
        <v>55997.1360000002</v>
      </c>
    </row>
    <row r="914">
      <c r="A914" s="4" t="inlineStr">
        <is>
          <t>Лиды 3</t>
        </is>
      </c>
      <c r="B914" s="5" t="n">
        <v>3</v>
      </c>
    </row>
    <row r="915">
      <c r="A915" s="6" t="inlineStr">
        <is>
          <t>Стоимость Лида 3</t>
        </is>
      </c>
      <c r="B915" s="9">
        <f>IFERROR(B913/B914,0)</f>
        <v/>
      </c>
    </row>
    <row r="916">
      <c r="A916" s="4" t="inlineStr">
        <is>
          <t>ВП</t>
        </is>
      </c>
      <c r="B916" s="10" t="n">
        <v>0</v>
      </c>
    </row>
    <row r="917">
      <c r="A917" s="4" t="inlineStr">
        <is>
          <t>Продажи</t>
        </is>
      </c>
      <c r="B917" s="5" t="n">
        <v>0</v>
      </c>
    </row>
    <row r="918">
      <c r="A918" s="6" t="inlineStr">
        <is>
          <t>Средний чек</t>
        </is>
      </c>
      <c r="B918" s="9">
        <f>IFERROR(B916/B917,0)</f>
        <v/>
      </c>
    </row>
    <row r="920">
      <c r="A920" s="15" t="inlineStr">
        <is>
          <t>[Поиск] Бренд</t>
        </is>
      </c>
      <c r="B920" s="16">
        <f>B$1</f>
        <v/>
      </c>
    </row>
    <row r="921">
      <c r="A921" s="4" t="inlineStr">
        <is>
          <t>Показы</t>
        </is>
      </c>
      <c r="B921" s="5" t="n">
        <v>492</v>
      </c>
    </row>
    <row r="922">
      <c r="A922" s="4" t="inlineStr">
        <is>
          <t>Визиты</t>
        </is>
      </c>
      <c r="B922" s="5" t="n">
        <v>70</v>
      </c>
    </row>
    <row r="923">
      <c r="A923" s="6" t="inlineStr">
        <is>
          <t>CTR</t>
        </is>
      </c>
      <c r="B923" s="7">
        <f>IFERROR(B922/B921,0)</f>
        <v/>
      </c>
    </row>
    <row r="924">
      <c r="A924" s="6" t="inlineStr">
        <is>
          <t>CPC</t>
        </is>
      </c>
      <c r="B924" s="8">
        <f>IFERROR(B930/B922,0)</f>
        <v/>
      </c>
    </row>
    <row r="925">
      <c r="A925" s="6" t="inlineStr">
        <is>
          <t>Конверсия в заявку</t>
        </is>
      </c>
      <c r="B925" s="7">
        <f>IFERROR(B926/B922,0)</f>
        <v/>
      </c>
    </row>
    <row r="926">
      <c r="A926" s="4" t="inlineStr">
        <is>
          <t>Лид 1</t>
        </is>
      </c>
      <c r="B926" s="5" t="n">
        <v>1</v>
      </c>
    </row>
    <row r="927">
      <c r="A927" s="6" t="inlineStr">
        <is>
          <t>Стоимость Лида 1</t>
        </is>
      </c>
      <c r="B927" s="9">
        <f>IFERROR(B930/B926,0)</f>
        <v/>
      </c>
    </row>
    <row r="928">
      <c r="A928" s="4" t="inlineStr">
        <is>
          <t>Лиды 2</t>
        </is>
      </c>
      <c r="B928" s="5" t="n">
        <v>1</v>
      </c>
    </row>
    <row r="929">
      <c r="A929" s="6" t="inlineStr">
        <is>
          <t>Стоимость Лида 2</t>
        </is>
      </c>
      <c r="B929" s="9">
        <f>IFERROR(B930/B928,0)</f>
        <v/>
      </c>
    </row>
    <row r="930">
      <c r="A930" s="4" t="inlineStr">
        <is>
          <t>Рекламный бюджет</t>
        </is>
      </c>
      <c r="B930" s="10" t="n">
        <v>26480.32799999999</v>
      </c>
    </row>
    <row r="931">
      <c r="A931" s="4" t="inlineStr">
        <is>
          <t>Лиды 3</t>
        </is>
      </c>
      <c r="B931" s="5" t="n">
        <v>1</v>
      </c>
    </row>
    <row r="932">
      <c r="A932" s="6" t="inlineStr">
        <is>
          <t>Стоимость Лида 3</t>
        </is>
      </c>
      <c r="B932" s="9">
        <f>IFERROR(B930/B931,0)</f>
        <v/>
      </c>
    </row>
    <row r="933">
      <c r="A933" s="4" t="inlineStr">
        <is>
          <t>ВП</t>
        </is>
      </c>
      <c r="B933" s="10" t="n">
        <v>0</v>
      </c>
    </row>
    <row r="934">
      <c r="A934" s="4" t="inlineStr">
        <is>
          <t>Продажи</t>
        </is>
      </c>
      <c r="B934" s="5" t="n">
        <v>0</v>
      </c>
    </row>
    <row r="935">
      <c r="A935" s="6" t="inlineStr">
        <is>
          <t>Средний чек</t>
        </is>
      </c>
      <c r="B935" s="9">
        <f>IFERROR(B933/B934,0)</f>
        <v/>
      </c>
    </row>
    <row r="937">
      <c r="A937" s="15" t="inlineStr">
        <is>
          <t>[МК] Квиз от 20.08.26</t>
        </is>
      </c>
      <c r="B937" s="16">
        <f>B$1</f>
        <v/>
      </c>
    </row>
    <row r="938">
      <c r="A938" s="4" t="inlineStr">
        <is>
          <t>Показы</t>
        </is>
      </c>
      <c r="B938" s="5" t="n">
        <v>52605</v>
      </c>
    </row>
    <row r="939">
      <c r="A939" s="4" t="inlineStr">
        <is>
          <t>Визиты</t>
        </is>
      </c>
      <c r="B939" s="5" t="n">
        <v>363</v>
      </c>
    </row>
    <row r="940">
      <c r="A940" s="6" t="inlineStr">
        <is>
          <t>CTR</t>
        </is>
      </c>
      <c r="B940" s="7">
        <f>IFERROR(B939/B938,0)</f>
        <v/>
      </c>
    </row>
    <row r="941">
      <c r="A941" s="6" t="inlineStr">
        <is>
          <t>CPC</t>
        </is>
      </c>
      <c r="B941" s="8">
        <f>IFERROR(B947/B939,0)</f>
        <v/>
      </c>
    </row>
    <row r="942">
      <c r="A942" s="6" t="inlineStr">
        <is>
          <t>Конверсия в заявку</t>
        </is>
      </c>
      <c r="B942" s="7">
        <f>IFERROR(B943/B939,0)</f>
        <v/>
      </c>
    </row>
    <row r="943">
      <c r="A943" s="4" t="inlineStr">
        <is>
          <t>Лид 1</t>
        </is>
      </c>
      <c r="B943" s="5" t="n">
        <v>5</v>
      </c>
    </row>
    <row r="944">
      <c r="A944" s="6" t="inlineStr">
        <is>
          <t>Стоимость Лида 1</t>
        </is>
      </c>
      <c r="B944" s="9">
        <f>IFERROR(B947/B943,0)</f>
        <v/>
      </c>
    </row>
    <row r="945">
      <c r="A945" s="4" t="inlineStr">
        <is>
          <t>Лиды 2</t>
        </is>
      </c>
      <c r="B945" s="5" t="n">
        <v>5</v>
      </c>
    </row>
    <row r="946">
      <c r="A946" s="6" t="inlineStr">
        <is>
          <t>Стоимость Лида 2</t>
        </is>
      </c>
      <c r="B946" s="9">
        <f>IFERROR(B947/B945,0)</f>
        <v/>
      </c>
    </row>
    <row r="947">
      <c r="A947" s="4" t="inlineStr">
        <is>
          <t>Рекламный бюджет</t>
        </is>
      </c>
      <c r="B947" s="10" t="n">
        <v>16830.7764</v>
      </c>
    </row>
    <row r="948">
      <c r="A948" s="4" t="inlineStr">
        <is>
          <t>Лиды 3</t>
        </is>
      </c>
      <c r="B948" s="5" t="n">
        <v>1</v>
      </c>
    </row>
    <row r="949">
      <c r="A949" s="6" t="inlineStr">
        <is>
          <t>Стоимость Лида 3</t>
        </is>
      </c>
      <c r="B949" s="9">
        <f>IFERROR(B947/B948,0)</f>
        <v/>
      </c>
    </row>
    <row r="950">
      <c r="A950" s="4" t="inlineStr">
        <is>
          <t>ВП</t>
        </is>
      </c>
      <c r="B950" s="10" t="n">
        <v>0</v>
      </c>
    </row>
    <row r="951">
      <c r="A951" s="4" t="inlineStr">
        <is>
          <t>Продажи</t>
        </is>
      </c>
      <c r="B951" s="5" t="n">
        <v>0</v>
      </c>
    </row>
    <row r="952">
      <c r="A952" s="6" t="inlineStr">
        <is>
          <t>Средний чек</t>
        </is>
      </c>
      <c r="B952" s="9">
        <f>IFERROR(B950/B951,0)</f>
        <v/>
      </c>
    </row>
    <row r="954">
      <c r="A954" s="15" t="inlineStr">
        <is>
          <t>[РСЯ] BERG.COM</t>
        </is>
      </c>
      <c r="B954" s="16">
        <f>B$1</f>
        <v/>
      </c>
    </row>
    <row r="955">
      <c r="A955" s="4" t="inlineStr">
        <is>
          <t>Показы</t>
        </is>
      </c>
      <c r="B955" s="5" t="n">
        <v>10420</v>
      </c>
    </row>
    <row r="956">
      <c r="A956" s="4" t="inlineStr">
        <is>
          <t>Визиты</t>
        </is>
      </c>
      <c r="B956" s="5" t="n">
        <v>276</v>
      </c>
    </row>
    <row r="957">
      <c r="A957" s="6" t="inlineStr">
        <is>
          <t>CTR</t>
        </is>
      </c>
      <c r="B957" s="7">
        <f>IFERROR(B956/B955,0)</f>
        <v/>
      </c>
    </row>
    <row r="958">
      <c r="A958" s="6" t="inlineStr">
        <is>
          <t>CPC</t>
        </is>
      </c>
      <c r="B958" s="8">
        <f>IFERROR(B964/B956,0)</f>
        <v/>
      </c>
    </row>
    <row r="959">
      <c r="A959" s="6" t="inlineStr">
        <is>
          <t>Конверсия в заявку</t>
        </is>
      </c>
      <c r="B959" s="7">
        <f>IFERROR(B960/B956,0)</f>
        <v/>
      </c>
    </row>
    <row r="960">
      <c r="A960" s="4" t="inlineStr">
        <is>
          <t>Лид 1</t>
        </is>
      </c>
      <c r="B960" s="5" t="n">
        <v>0</v>
      </c>
    </row>
    <row r="961">
      <c r="A961" s="6" t="inlineStr">
        <is>
          <t>Стоимость Лида 1</t>
        </is>
      </c>
      <c r="B961" s="9">
        <f>IFERROR(B964/B960,0)</f>
        <v/>
      </c>
    </row>
    <row r="962">
      <c r="A962" s="4" t="inlineStr">
        <is>
          <t>Лиды 2</t>
        </is>
      </c>
      <c r="B962" s="5" t="n">
        <v>0</v>
      </c>
    </row>
    <row r="963">
      <c r="A963" s="6" t="inlineStr">
        <is>
          <t>Стоимость Лида 2</t>
        </is>
      </c>
      <c r="B963" s="9">
        <f>IFERROR(B964/B962,0)</f>
        <v/>
      </c>
    </row>
    <row r="964">
      <c r="A964" s="4" t="inlineStr">
        <is>
          <t>Рекламный бюджет</t>
        </is>
      </c>
      <c r="B964" s="10" t="n">
        <v>0</v>
      </c>
    </row>
    <row r="965">
      <c r="A965" s="4" t="inlineStr">
        <is>
          <t>Лиды 3</t>
        </is>
      </c>
      <c r="B965" s="5" t="n">
        <v>0</v>
      </c>
    </row>
    <row r="966">
      <c r="A966" s="6" t="inlineStr">
        <is>
          <t>Стоимость Лида 3</t>
        </is>
      </c>
      <c r="B966" s="9">
        <f>IFERROR(B964/B965,0)</f>
        <v/>
      </c>
    </row>
    <row r="967">
      <c r="A967" s="4" t="inlineStr">
        <is>
          <t>ВП</t>
        </is>
      </c>
      <c r="B967" s="10" t="n">
        <v>0</v>
      </c>
    </row>
    <row r="968">
      <c r="A968" s="4" t="inlineStr">
        <is>
          <t>Продажи</t>
        </is>
      </c>
      <c r="B968" s="5" t="n">
        <v>0</v>
      </c>
    </row>
    <row r="969">
      <c r="A969" s="6" t="inlineStr">
        <is>
          <t>Средний чек</t>
        </is>
      </c>
      <c r="B969" s="9">
        <f>IFERROR(B967/B968,0)</f>
        <v/>
      </c>
    </row>
    <row r="971">
      <c r="A971" s="15" t="inlineStr">
        <is>
          <t>[РСЯ] Ретаргетинг</t>
        </is>
      </c>
      <c r="B971" s="16">
        <f>B$1</f>
        <v/>
      </c>
    </row>
    <row r="972">
      <c r="A972" s="4" t="inlineStr">
        <is>
          <t>Показы</t>
        </is>
      </c>
      <c r="B972" s="5" t="n">
        <v>1076</v>
      </c>
    </row>
    <row r="973">
      <c r="A973" s="4" t="inlineStr">
        <is>
          <t>Визиты</t>
        </is>
      </c>
      <c r="B973" s="5" t="n">
        <v>6</v>
      </c>
    </row>
    <row r="974">
      <c r="A974" s="6" t="inlineStr">
        <is>
          <t>CTR</t>
        </is>
      </c>
      <c r="B974" s="7">
        <f>IFERROR(B973/B972,0)</f>
        <v/>
      </c>
    </row>
    <row r="975">
      <c r="A975" s="6" t="inlineStr">
        <is>
          <t>CPC</t>
        </is>
      </c>
      <c r="B975" s="8">
        <f>IFERROR(B981/B973,0)</f>
        <v/>
      </c>
    </row>
    <row r="976">
      <c r="A976" s="6" t="inlineStr">
        <is>
          <t>Конверсия в заявку</t>
        </is>
      </c>
      <c r="B976" s="7">
        <f>IFERROR(B977/B973,0)</f>
        <v/>
      </c>
    </row>
    <row r="977">
      <c r="A977" s="4" t="inlineStr">
        <is>
          <t>Лид 1</t>
        </is>
      </c>
      <c r="B977" s="5" t="n">
        <v>0</v>
      </c>
    </row>
    <row r="978">
      <c r="A978" s="6" t="inlineStr">
        <is>
          <t>Стоимость Лида 1</t>
        </is>
      </c>
      <c r="B978" s="9">
        <f>IFERROR(B981/B977,0)</f>
        <v/>
      </c>
    </row>
    <row r="979">
      <c r="A979" s="4" t="inlineStr">
        <is>
          <t>Лиды 2</t>
        </is>
      </c>
      <c r="B979" s="5" t="n">
        <v>0</v>
      </c>
    </row>
    <row r="980">
      <c r="A980" s="6" t="inlineStr">
        <is>
          <t>Стоимость Лида 2</t>
        </is>
      </c>
      <c r="B980" s="9">
        <f>IFERROR(B981/B979,0)</f>
        <v/>
      </c>
    </row>
    <row r="981">
      <c r="A981" s="4" t="inlineStr">
        <is>
          <t>Рекламный бюджет</t>
        </is>
      </c>
      <c r="B981" s="10" t="n">
        <v>0</v>
      </c>
    </row>
    <row r="982">
      <c r="A982" s="4" t="inlineStr">
        <is>
          <t>Лиды 3</t>
        </is>
      </c>
      <c r="B982" s="5" t="n">
        <v>0</v>
      </c>
    </row>
    <row r="983">
      <c r="A983" s="6" t="inlineStr">
        <is>
          <t>Стоимость Лида 3</t>
        </is>
      </c>
      <c r="B983" s="9">
        <f>IFERROR(B981/B982,0)</f>
        <v/>
      </c>
    </row>
    <row r="984">
      <c r="A984" s="4" t="inlineStr">
        <is>
          <t>ВП</t>
        </is>
      </c>
      <c r="B984" s="10" t="n">
        <v>0</v>
      </c>
    </row>
    <row r="985">
      <c r="A985" s="4" t="inlineStr">
        <is>
          <t>Продажи</t>
        </is>
      </c>
      <c r="B985" s="5" t="n">
        <v>0</v>
      </c>
    </row>
    <row r="986">
      <c r="A986" s="6" t="inlineStr">
        <is>
          <t>Средний чек</t>
        </is>
      </c>
      <c r="B986" s="9">
        <f>IFERROR(B984/B985,0)</f>
        <v/>
      </c>
    </row>
    <row r="989">
      <c r="A989" s="13" t="inlineStr">
        <is>
          <t>BERG-KOMPRESSOR.RU</t>
        </is>
      </c>
      <c r="B989" s="14" t="n"/>
    </row>
    <row r="990">
      <c r="A990" s="15" t="inlineStr">
        <is>
          <t>Общие</t>
        </is>
      </c>
      <c r="B990" s="16">
        <f>B$1</f>
        <v/>
      </c>
    </row>
    <row r="991">
      <c r="A991" s="4" t="inlineStr">
        <is>
          <t>Показы</t>
        </is>
      </c>
      <c r="B991" s="5">
        <f>B1011+B1028+B1045+B1062+B1079+B1096+B1113</f>
        <v/>
      </c>
    </row>
    <row r="992">
      <c r="A992" s="4" t="inlineStr">
        <is>
          <t>Визиты</t>
        </is>
      </c>
      <c r="B992" s="5">
        <f>B1012+B1029+B1046+B1063+B1080+B1097+B1114</f>
        <v/>
      </c>
    </row>
    <row r="993">
      <c r="A993" s="6" t="inlineStr">
        <is>
          <t>CTR</t>
        </is>
      </c>
      <c r="B993" s="7">
        <f>IFERROR(B992/B991,0)</f>
        <v/>
      </c>
    </row>
    <row r="994">
      <c r="A994" s="6" t="inlineStr">
        <is>
          <t>CPC</t>
        </is>
      </c>
      <c r="B994" s="8">
        <f>IFERROR(B1000/B992,0)</f>
        <v/>
      </c>
    </row>
    <row r="995">
      <c r="A995" s="6" t="inlineStr">
        <is>
          <t>Конверсия в заявку</t>
        </is>
      </c>
      <c r="B995" s="7">
        <f>IFERROR(B996/B992,0)</f>
        <v/>
      </c>
    </row>
    <row r="996">
      <c r="A996" s="4" t="inlineStr">
        <is>
          <t>Лид 1</t>
        </is>
      </c>
      <c r="B996" s="5">
        <f>B1016+B1033+B1050+B1067+B1084+B1101+B1118</f>
        <v/>
      </c>
    </row>
    <row r="997">
      <c r="A997" s="6" t="inlineStr">
        <is>
          <t>Стоимость Лида 1</t>
        </is>
      </c>
      <c r="B997" s="9">
        <f>IFERROR(B1000/B996,0)</f>
        <v/>
      </c>
    </row>
    <row r="998">
      <c r="A998" s="4" t="inlineStr">
        <is>
          <t>Лиды 2</t>
        </is>
      </c>
      <c r="B998" s="5">
        <f>B1018+B1035+B1052+B1069+B1086+B1103+B1120</f>
        <v/>
      </c>
    </row>
    <row r="999">
      <c r="A999" s="6" t="inlineStr">
        <is>
          <t>Стоимость Лида 2</t>
        </is>
      </c>
      <c r="B999" s="9">
        <f>IFERROR(B1000/B998,0)</f>
        <v/>
      </c>
    </row>
    <row r="1000">
      <c r="A1000" s="4" t="inlineStr">
        <is>
          <t>Рекламный бюджет</t>
        </is>
      </c>
      <c r="B1000" s="10">
        <f>B1020+B1037+B1054+B1071+B1088+B1105+B1122</f>
        <v/>
      </c>
    </row>
    <row r="1001">
      <c r="A1001" s="4" t="inlineStr">
        <is>
          <t>Лиды 3</t>
        </is>
      </c>
      <c r="B1001" s="5">
        <f>B1021+B1038+B1055+B1072+B1089+B1106+B1123</f>
        <v/>
      </c>
    </row>
    <row r="1002">
      <c r="A1002" s="6" t="inlineStr">
        <is>
          <t>Стоимость Лида 3</t>
        </is>
      </c>
      <c r="B1002" s="9">
        <f>IFERROR(B1000/B1001,0)</f>
        <v/>
      </c>
    </row>
    <row r="1003">
      <c r="A1003" s="4" t="inlineStr">
        <is>
          <t>ВП</t>
        </is>
      </c>
      <c r="B1003" s="10">
        <f>B1023+B1040+B1057+B1074+B1091+B1108+B1125</f>
        <v/>
      </c>
    </row>
    <row r="1004">
      <c r="A1004" s="4" t="inlineStr">
        <is>
          <t>Продажи</t>
        </is>
      </c>
      <c r="B1004" s="5">
        <f>B1024+B1041+B1058+B1075+B1092+B1109+B1126</f>
        <v/>
      </c>
    </row>
    <row r="1005">
      <c r="A1005" s="6" t="inlineStr">
        <is>
          <t>Средний чек</t>
        </is>
      </c>
      <c r="B1005" s="9">
        <f>IFERROR(B1003/B1004,0)</f>
        <v/>
      </c>
    </row>
    <row r="1007">
      <c r="A1007" s="11" t="inlineStr">
        <is>
          <t>Вывод по сделкам за неделю</t>
        </is>
      </c>
    </row>
    <row r="1008" ht="30" customHeight="1">
      <c r="A1008" s="12" t="inlineStr">
        <is>
          <t>За неделю создана 1 сделка на 75 кВт. В работе 1 сделка, успешно завершённых нет, проваленных нет. В сделках в работе: 1 винтовой компрессор на 75 кВт. Ориентировочная сумма активных сделок — 890 тыс. руб.</t>
        </is>
      </c>
    </row>
    <row r="1010">
      <c r="A1010" s="15" t="inlineStr">
        <is>
          <t>[Поиск и РСЯ] Товарная кампания berg.ru от 10.08.26</t>
        </is>
      </c>
      <c r="B1010" s="16">
        <f>B$1</f>
        <v/>
      </c>
    </row>
    <row r="1011">
      <c r="A1011" s="4" t="inlineStr">
        <is>
          <t>Показы</t>
        </is>
      </c>
      <c r="B1011" s="5" t="n">
        <v>343378</v>
      </c>
    </row>
    <row r="1012">
      <c r="A1012" s="4" t="inlineStr">
        <is>
          <t>Визиты</t>
        </is>
      </c>
      <c r="B1012" s="5" t="n">
        <v>8272</v>
      </c>
    </row>
    <row r="1013">
      <c r="A1013" s="6" t="inlineStr">
        <is>
          <t>CTR</t>
        </is>
      </c>
      <c r="B1013" s="7">
        <f>IFERROR(B1012/B1011,0)</f>
        <v/>
      </c>
    </row>
    <row r="1014">
      <c r="A1014" s="6" t="inlineStr">
        <is>
          <t>CPC</t>
        </is>
      </c>
      <c r="B1014" s="8">
        <f>IFERROR(B1020/B1012,0)</f>
        <v/>
      </c>
    </row>
    <row r="1015">
      <c r="A1015" s="6" t="inlineStr">
        <is>
          <t>Конверсия в заявку</t>
        </is>
      </c>
      <c r="B1015" s="7">
        <f>IFERROR(B1016/B1012,0)</f>
        <v/>
      </c>
    </row>
    <row r="1016">
      <c r="A1016" s="4" t="inlineStr">
        <is>
          <t>Лид 1</t>
        </is>
      </c>
      <c r="B1016" s="5" t="n">
        <v>9</v>
      </c>
    </row>
    <row r="1017">
      <c r="A1017" s="6" t="inlineStr">
        <is>
          <t>Стоимость Лида 1</t>
        </is>
      </c>
      <c r="B1017" s="9">
        <f>IFERROR(B1020/B1016,0)</f>
        <v/>
      </c>
    </row>
    <row r="1018">
      <c r="A1018" s="4" t="inlineStr">
        <is>
          <t>Лиды 2</t>
        </is>
      </c>
      <c r="B1018" s="5" t="n">
        <v>6</v>
      </c>
    </row>
    <row r="1019">
      <c r="A1019" s="6" t="inlineStr">
        <is>
          <t>Стоимость Лида 2</t>
        </is>
      </c>
      <c r="B1019" s="9">
        <f>IFERROR(B1020/B1018,0)</f>
        <v/>
      </c>
    </row>
    <row r="1020">
      <c r="A1020" s="4" t="inlineStr">
        <is>
          <t>Рекламный бюджет</t>
        </is>
      </c>
      <c r="B1020" s="10" t="n">
        <v>38574.49799999985</v>
      </c>
    </row>
    <row r="1021">
      <c r="A1021" s="4" t="inlineStr">
        <is>
          <t>Лиды 3</t>
        </is>
      </c>
      <c r="B1021" s="5" t="n">
        <v>1</v>
      </c>
    </row>
    <row r="1022">
      <c r="A1022" s="6" t="inlineStr">
        <is>
          <t>Стоимость Лида 3</t>
        </is>
      </c>
      <c r="B1022" s="9">
        <f>IFERROR(B1020/B1021,0)</f>
        <v/>
      </c>
    </row>
    <row r="1023">
      <c r="A1023" s="4" t="inlineStr">
        <is>
          <t>ВП</t>
        </is>
      </c>
      <c r="B1023" s="10" t="n">
        <v>0</v>
      </c>
    </row>
    <row r="1024">
      <c r="A1024" s="4" t="inlineStr">
        <is>
          <t>Продажи</t>
        </is>
      </c>
      <c r="B1024" s="5" t="n">
        <v>0</v>
      </c>
    </row>
    <row r="1025">
      <c r="A1025" s="6" t="inlineStr">
        <is>
          <t>Средний чек</t>
        </is>
      </c>
      <c r="B1025" s="9">
        <f>IFERROR(B1023/B1024,0)</f>
        <v/>
      </c>
    </row>
    <row r="1027">
      <c r="A1027" s="15" t="inlineStr">
        <is>
          <t>[Поиск] Бренд2</t>
        </is>
      </c>
      <c r="B1027" s="16">
        <f>B$1</f>
        <v/>
      </c>
    </row>
    <row r="1028">
      <c r="A1028" s="4" t="inlineStr">
        <is>
          <t>Показы</t>
        </is>
      </c>
      <c r="B1028" s="5" t="n">
        <v>286</v>
      </c>
    </row>
    <row r="1029">
      <c r="A1029" s="4" t="inlineStr">
        <is>
          <t>Визиты</t>
        </is>
      </c>
      <c r="B1029" s="5" t="n">
        <v>54</v>
      </c>
    </row>
    <row r="1030">
      <c r="A1030" s="6" t="inlineStr">
        <is>
          <t>CTR</t>
        </is>
      </c>
      <c r="B1030" s="7">
        <f>IFERROR(B1029/B1028,0)</f>
        <v/>
      </c>
    </row>
    <row r="1031">
      <c r="A1031" s="6" t="inlineStr">
        <is>
          <t>CPC</t>
        </is>
      </c>
      <c r="B1031" s="8">
        <f>IFERROR(B1037/B1029,0)</f>
        <v/>
      </c>
    </row>
    <row r="1032">
      <c r="A1032" s="6" t="inlineStr">
        <is>
          <t>Конверсия в заявку</t>
        </is>
      </c>
      <c r="B1032" s="7">
        <f>IFERROR(B1033/B1029,0)</f>
        <v/>
      </c>
    </row>
    <row r="1033">
      <c r="A1033" s="4" t="inlineStr">
        <is>
          <t>Лид 1</t>
        </is>
      </c>
      <c r="B1033" s="5" t="n">
        <v>2</v>
      </c>
    </row>
    <row r="1034">
      <c r="A1034" s="6" t="inlineStr">
        <is>
          <t>Стоимость Лида 1</t>
        </is>
      </c>
      <c r="B1034" s="9">
        <f>IFERROR(B1037/B1033,0)</f>
        <v/>
      </c>
    </row>
    <row r="1035">
      <c r="A1035" s="4" t="inlineStr">
        <is>
          <t>Лиды 2</t>
        </is>
      </c>
      <c r="B1035" s="5" t="n">
        <v>1</v>
      </c>
    </row>
    <row r="1036">
      <c r="A1036" s="6" t="inlineStr">
        <is>
          <t>Стоимость Лида 2</t>
        </is>
      </c>
      <c r="B1036" s="9">
        <f>IFERROR(B1037/B1035,0)</f>
        <v/>
      </c>
    </row>
    <row r="1037">
      <c r="A1037" s="4" t="inlineStr">
        <is>
          <t>Рекламный бюджет</t>
        </is>
      </c>
      <c r="B1037" s="10" t="n">
        <v>31659.27600000001</v>
      </c>
    </row>
    <row r="1038">
      <c r="A1038" s="4" t="inlineStr">
        <is>
          <t>Лиды 3</t>
        </is>
      </c>
      <c r="B1038" s="5" t="n">
        <v>0</v>
      </c>
    </row>
    <row r="1039">
      <c r="A1039" s="6" t="inlineStr">
        <is>
          <t>Стоимость Лида 3</t>
        </is>
      </c>
      <c r="B1039" s="9">
        <f>IFERROR(B1037/B1038,0)</f>
        <v/>
      </c>
    </row>
    <row r="1040">
      <c r="A1040" s="4" t="inlineStr">
        <is>
          <t>ВП</t>
        </is>
      </c>
      <c r="B1040" s="10" t="n">
        <v>0</v>
      </c>
    </row>
    <row r="1041">
      <c r="A1041" s="4" t="inlineStr">
        <is>
          <t>Продажи</t>
        </is>
      </c>
      <c r="B1041" s="5" t="n">
        <v>0</v>
      </c>
    </row>
    <row r="1042">
      <c r="A1042" s="6" t="inlineStr">
        <is>
          <t>Средний чек</t>
        </is>
      </c>
      <c r="B1042" s="9">
        <f>IFERROR(B1040/B1041,0)</f>
        <v/>
      </c>
    </row>
    <row r="1044">
      <c r="A1044" s="15" t="inlineStr">
        <is>
          <t>[МК] Квиз</t>
        </is>
      </c>
      <c r="B1044" s="16">
        <f>B$1</f>
        <v/>
      </c>
    </row>
    <row r="1045">
      <c r="A1045" s="4" t="inlineStr">
        <is>
          <t>Показы</t>
        </is>
      </c>
      <c r="B1045" s="5" t="n">
        <v>30235</v>
      </c>
    </row>
    <row r="1046">
      <c r="A1046" s="4" t="inlineStr">
        <is>
          <t>Визиты</t>
        </is>
      </c>
      <c r="B1046" s="5" t="n">
        <v>1046</v>
      </c>
    </row>
    <row r="1047">
      <c r="A1047" s="6" t="inlineStr">
        <is>
          <t>CTR</t>
        </is>
      </c>
      <c r="B1047" s="7">
        <f>IFERROR(B1046/B1045,0)</f>
        <v/>
      </c>
    </row>
    <row r="1048">
      <c r="A1048" s="6" t="inlineStr">
        <is>
          <t>CPC</t>
        </is>
      </c>
      <c r="B1048" s="8">
        <f>IFERROR(B1054/B1046,0)</f>
        <v/>
      </c>
    </row>
    <row r="1049">
      <c r="A1049" s="6" t="inlineStr">
        <is>
          <t>Конверсия в заявку</t>
        </is>
      </c>
      <c r="B1049" s="7">
        <f>IFERROR(B1050/B1046,0)</f>
        <v/>
      </c>
    </row>
    <row r="1050">
      <c r="A1050" s="4" t="inlineStr">
        <is>
          <t>Лид 1</t>
        </is>
      </c>
      <c r="B1050" s="5" t="n">
        <v>0</v>
      </c>
    </row>
    <row r="1051">
      <c r="A1051" s="6" t="inlineStr">
        <is>
          <t>Стоимость Лида 1</t>
        </is>
      </c>
      <c r="B1051" s="9">
        <f>IFERROR(B1054/B1050,0)</f>
        <v/>
      </c>
    </row>
    <row r="1052">
      <c r="A1052" s="4" t="inlineStr">
        <is>
          <t>Лиды 2</t>
        </is>
      </c>
      <c r="B1052" s="5" t="n">
        <v>0</v>
      </c>
    </row>
    <row r="1053">
      <c r="A1053" s="6" t="inlineStr">
        <is>
          <t>Стоимость Лида 2</t>
        </is>
      </c>
      <c r="B1053" s="9">
        <f>IFERROR(B1054/B1052,0)</f>
        <v/>
      </c>
    </row>
    <row r="1054">
      <c r="A1054" s="4" t="inlineStr">
        <is>
          <t>Рекламный бюджет</t>
        </is>
      </c>
      <c r="B1054" s="10" t="n">
        <v>6372.008399999994</v>
      </c>
    </row>
    <row r="1055">
      <c r="A1055" s="4" t="inlineStr">
        <is>
          <t>Лиды 3</t>
        </is>
      </c>
      <c r="B1055" s="5" t="n">
        <v>0</v>
      </c>
    </row>
    <row r="1056">
      <c r="A1056" s="6" t="inlineStr">
        <is>
          <t>Стоимость Лида 3</t>
        </is>
      </c>
      <c r="B1056" s="9">
        <f>IFERROR(B1054/B1055,0)</f>
        <v/>
      </c>
    </row>
    <row r="1057">
      <c r="A1057" s="4" t="inlineStr">
        <is>
          <t>ВП</t>
        </is>
      </c>
      <c r="B1057" s="10" t="n">
        <v>0</v>
      </c>
    </row>
    <row r="1058">
      <c r="A1058" s="4" t="inlineStr">
        <is>
          <t>Продажи</t>
        </is>
      </c>
      <c r="B1058" s="5" t="n">
        <v>0</v>
      </c>
    </row>
    <row r="1059">
      <c r="A1059" s="6" t="inlineStr">
        <is>
          <t>Средний чек</t>
        </is>
      </c>
      <c r="B1059" s="9">
        <f>IFERROR(B1057/B1058,0)</f>
        <v/>
      </c>
    </row>
    <row r="1061">
      <c r="A1061" s="15" t="inlineStr">
        <is>
          <t>[РСЯ] BERG.RU</t>
        </is>
      </c>
      <c r="B1061" s="16">
        <f>B$1</f>
        <v/>
      </c>
    </row>
    <row r="1062">
      <c r="A1062" s="4" t="inlineStr">
        <is>
          <t>Показы</t>
        </is>
      </c>
      <c r="B1062" s="5" t="n">
        <v>152541</v>
      </c>
    </row>
    <row r="1063">
      <c r="A1063" s="4" t="inlineStr">
        <is>
          <t>Визиты</t>
        </is>
      </c>
      <c r="B1063" s="5" t="n">
        <v>2570</v>
      </c>
    </row>
    <row r="1064">
      <c r="A1064" s="6" t="inlineStr">
        <is>
          <t>CTR</t>
        </is>
      </c>
      <c r="B1064" s="7">
        <f>IFERROR(B1063/B1062,0)</f>
        <v/>
      </c>
    </row>
    <row r="1065">
      <c r="A1065" s="6" t="inlineStr">
        <is>
          <t>CPC</t>
        </is>
      </c>
      <c r="B1065" s="8">
        <f>IFERROR(B1071/B1063,0)</f>
        <v/>
      </c>
    </row>
    <row r="1066">
      <c r="A1066" s="6" t="inlineStr">
        <is>
          <t>Конверсия в заявку</t>
        </is>
      </c>
      <c r="B1066" s="7">
        <f>IFERROR(B1067/B1063,0)</f>
        <v/>
      </c>
    </row>
    <row r="1067">
      <c r="A1067" s="4" t="inlineStr">
        <is>
          <t>Лид 1</t>
        </is>
      </c>
      <c r="B1067" s="5" t="n">
        <v>5</v>
      </c>
    </row>
    <row r="1068">
      <c r="A1068" s="6" t="inlineStr">
        <is>
          <t>Стоимость Лида 1</t>
        </is>
      </c>
      <c r="B1068" s="9">
        <f>IFERROR(B1071/B1067,0)</f>
        <v/>
      </c>
    </row>
    <row r="1069">
      <c r="A1069" s="4" t="inlineStr">
        <is>
          <t>Лиды 2</t>
        </is>
      </c>
      <c r="B1069" s="5" t="n">
        <v>5</v>
      </c>
    </row>
    <row r="1070">
      <c r="A1070" s="6" t="inlineStr">
        <is>
          <t>Стоимость Лида 2</t>
        </is>
      </c>
      <c r="B1070" s="9">
        <f>IFERROR(B1071/B1069,0)</f>
        <v/>
      </c>
    </row>
    <row r="1071">
      <c r="A1071" s="4" t="inlineStr">
        <is>
          <t>Рекламный бюджет</t>
        </is>
      </c>
      <c r="B1071" s="10" t="n">
        <v>3600.000000000001</v>
      </c>
    </row>
    <row r="1072">
      <c r="A1072" s="4" t="inlineStr">
        <is>
          <t>Лиды 3</t>
        </is>
      </c>
      <c r="B1072" s="5" t="n">
        <v>0</v>
      </c>
    </row>
    <row r="1073">
      <c r="A1073" s="6" t="inlineStr">
        <is>
          <t>Стоимость Лида 3</t>
        </is>
      </c>
      <c r="B1073" s="9">
        <f>IFERROR(B1071/B1072,0)</f>
        <v/>
      </c>
    </row>
    <row r="1074">
      <c r="A1074" s="4" t="inlineStr">
        <is>
          <t>ВП</t>
        </is>
      </c>
      <c r="B1074" s="10" t="n">
        <v>0</v>
      </c>
    </row>
    <row r="1075">
      <c r="A1075" s="4" t="inlineStr">
        <is>
          <t>Продажи</t>
        </is>
      </c>
      <c r="B1075" s="5" t="n">
        <v>0</v>
      </c>
    </row>
    <row r="1076">
      <c r="A1076" s="6" t="inlineStr">
        <is>
          <t>Средний чек</t>
        </is>
      </c>
      <c r="B1076" s="9">
        <f>IFERROR(B1074/B1075,0)</f>
        <v/>
      </c>
    </row>
    <row r="1078">
      <c r="A1078" s="15" t="inlineStr">
        <is>
          <t>[МК] Бренд</t>
        </is>
      </c>
      <c r="B1078" s="16">
        <f>B$1</f>
        <v/>
      </c>
    </row>
    <row r="1079">
      <c r="A1079" s="4" t="inlineStr">
        <is>
          <t>Показы</t>
        </is>
      </c>
      <c r="B1079" s="5" t="n">
        <v>0</v>
      </c>
    </row>
    <row r="1080">
      <c r="A1080" s="4" t="inlineStr">
        <is>
          <t>Визиты</t>
        </is>
      </c>
      <c r="B1080" s="5" t="n">
        <v>1</v>
      </c>
    </row>
    <row r="1081">
      <c r="A1081" s="6" t="inlineStr">
        <is>
          <t>CTR</t>
        </is>
      </c>
      <c r="B1081" s="7">
        <f>IFERROR(B1080/B1079,0)</f>
        <v/>
      </c>
    </row>
    <row r="1082">
      <c r="A1082" s="6" t="inlineStr">
        <is>
          <t>CPC</t>
        </is>
      </c>
      <c r="B1082" s="8">
        <f>IFERROR(B1088/B1080,0)</f>
        <v/>
      </c>
    </row>
    <row r="1083">
      <c r="A1083" s="6" t="inlineStr">
        <is>
          <t>Конверсия в заявку</t>
        </is>
      </c>
      <c r="B1083" s="7">
        <f>IFERROR(B1084/B1080,0)</f>
        <v/>
      </c>
    </row>
    <row r="1084">
      <c r="A1084" s="4" t="inlineStr">
        <is>
          <t>Лид 1</t>
        </is>
      </c>
      <c r="B1084" s="5" t="n">
        <v>0</v>
      </c>
    </row>
    <row r="1085">
      <c r="A1085" s="6" t="inlineStr">
        <is>
          <t>Стоимость Лида 1</t>
        </is>
      </c>
      <c r="B1085" s="9">
        <f>IFERROR(B1088/B1084,0)</f>
        <v/>
      </c>
    </row>
    <row r="1086">
      <c r="A1086" s="4" t="inlineStr">
        <is>
          <t>Лиды 2</t>
        </is>
      </c>
      <c r="B1086" s="5" t="n">
        <v>0</v>
      </c>
    </row>
    <row r="1087">
      <c r="A1087" s="6" t="inlineStr">
        <is>
          <t>Стоимость Лида 2</t>
        </is>
      </c>
      <c r="B1087" s="9">
        <f>IFERROR(B1088/B1086,0)</f>
        <v/>
      </c>
    </row>
    <row r="1088">
      <c r="A1088" s="4" t="inlineStr">
        <is>
          <t>Рекламный бюджет</t>
        </is>
      </c>
      <c r="B1088" s="10" t="n">
        <v>0</v>
      </c>
    </row>
    <row r="1089">
      <c r="A1089" s="4" t="inlineStr">
        <is>
          <t>Лиды 3</t>
        </is>
      </c>
      <c r="B1089" s="5" t="n">
        <v>0</v>
      </c>
    </row>
    <row r="1090">
      <c r="A1090" s="6" t="inlineStr">
        <is>
          <t>Стоимость Лида 3</t>
        </is>
      </c>
      <c r="B1090" s="9">
        <f>IFERROR(B1088/B1089,0)</f>
        <v/>
      </c>
    </row>
    <row r="1091">
      <c r="A1091" s="4" t="inlineStr">
        <is>
          <t>ВП</t>
        </is>
      </c>
      <c r="B1091" s="10" t="n">
        <v>0</v>
      </c>
    </row>
    <row r="1092">
      <c r="A1092" s="4" t="inlineStr">
        <is>
          <t>Продажи</t>
        </is>
      </c>
      <c r="B1092" s="5" t="n">
        <v>0</v>
      </c>
    </row>
    <row r="1093">
      <c r="A1093" s="6" t="inlineStr">
        <is>
          <t>Средний чек</t>
        </is>
      </c>
      <c r="B1093" s="9">
        <f>IFERROR(B1091/B1092,0)</f>
        <v/>
      </c>
    </row>
    <row r="1095">
      <c r="A1095" s="15" t="inlineStr">
        <is>
          <t>[Товарка] berg-kompressor.ru</t>
        </is>
      </c>
      <c r="B1095" s="16">
        <f>B$1</f>
        <v/>
      </c>
    </row>
    <row r="1096">
      <c r="A1096" s="4" t="inlineStr">
        <is>
          <t>Показы</t>
        </is>
      </c>
      <c r="B1096" s="5" t="n">
        <v>0</v>
      </c>
    </row>
    <row r="1097">
      <c r="A1097" s="4" t="inlineStr">
        <is>
          <t>Визиты</t>
        </is>
      </c>
      <c r="B1097" s="5" t="n">
        <v>47</v>
      </c>
    </row>
    <row r="1098">
      <c r="A1098" s="6" t="inlineStr">
        <is>
          <t>CTR</t>
        </is>
      </c>
      <c r="B1098" s="7">
        <f>IFERROR(B1097/B1096,0)</f>
        <v/>
      </c>
    </row>
    <row r="1099">
      <c r="A1099" s="6" t="inlineStr">
        <is>
          <t>CPC</t>
        </is>
      </c>
      <c r="B1099" s="8">
        <f>IFERROR(B1105/B1097,0)</f>
        <v/>
      </c>
    </row>
    <row r="1100">
      <c r="A1100" s="6" t="inlineStr">
        <is>
          <t>Конверсия в заявку</t>
        </is>
      </c>
      <c r="B1100" s="7">
        <f>IFERROR(B1101/B1097,0)</f>
        <v/>
      </c>
    </row>
    <row r="1101">
      <c r="A1101" s="4" t="inlineStr">
        <is>
          <t>Лид 1</t>
        </is>
      </c>
      <c r="B1101" s="5" t="n">
        <v>0</v>
      </c>
    </row>
    <row r="1102">
      <c r="A1102" s="6" t="inlineStr">
        <is>
          <t>Стоимость Лида 1</t>
        </is>
      </c>
      <c r="B1102" s="9">
        <f>IFERROR(B1105/B1101,0)</f>
        <v/>
      </c>
    </row>
    <row r="1103">
      <c r="A1103" s="4" t="inlineStr">
        <is>
          <t>Лиды 2</t>
        </is>
      </c>
      <c r="B1103" s="5" t="n">
        <v>0</v>
      </c>
    </row>
    <row r="1104">
      <c r="A1104" s="6" t="inlineStr">
        <is>
          <t>Стоимость Лида 2</t>
        </is>
      </c>
      <c r="B1104" s="9">
        <f>IFERROR(B1105/B1103,0)</f>
        <v/>
      </c>
    </row>
    <row r="1105">
      <c r="A1105" s="4" t="inlineStr">
        <is>
          <t>Рекламный бюджет</t>
        </is>
      </c>
      <c r="B1105" s="10" t="n">
        <v>0</v>
      </c>
    </row>
    <row r="1106">
      <c r="A1106" s="4" t="inlineStr">
        <is>
          <t>Лиды 3</t>
        </is>
      </c>
      <c r="B1106" s="5" t="n">
        <v>0</v>
      </c>
    </row>
    <row r="1107">
      <c r="A1107" s="6" t="inlineStr">
        <is>
          <t>Стоимость Лида 3</t>
        </is>
      </c>
      <c r="B1107" s="9">
        <f>IFERROR(B1105/B1106,0)</f>
        <v/>
      </c>
    </row>
    <row r="1108">
      <c r="A1108" s="4" t="inlineStr">
        <is>
          <t>ВП</t>
        </is>
      </c>
      <c r="B1108" s="10" t="n">
        <v>0</v>
      </c>
    </row>
    <row r="1109">
      <c r="A1109" s="4" t="inlineStr">
        <is>
          <t>Продажи</t>
        </is>
      </c>
      <c r="B1109" s="5" t="n">
        <v>0</v>
      </c>
    </row>
    <row r="1110">
      <c r="A1110" s="6" t="inlineStr">
        <is>
          <t>Средний чек</t>
        </is>
      </c>
      <c r="B1110" s="9">
        <f>IFERROR(B1108/B1109,0)</f>
        <v/>
      </c>
    </row>
    <row r="1112">
      <c r="A1112" s="15" t="inlineStr">
        <is>
          <t>[РСЯ] Товарка berg-kompressor.ru от 27.03.26</t>
        </is>
      </c>
      <c r="B1112" s="16">
        <f>B$1</f>
        <v/>
      </c>
    </row>
    <row r="1113">
      <c r="A1113" s="4" t="inlineStr">
        <is>
          <t>Показы</t>
        </is>
      </c>
      <c r="B1113" s="5" t="n">
        <v>0</v>
      </c>
    </row>
    <row r="1114">
      <c r="A1114" s="4" t="inlineStr">
        <is>
          <t>Визиты</t>
        </is>
      </c>
      <c r="B1114" s="5" t="n">
        <v>1</v>
      </c>
    </row>
    <row r="1115">
      <c r="A1115" s="6" t="inlineStr">
        <is>
          <t>CTR</t>
        </is>
      </c>
      <c r="B1115" s="7">
        <f>IFERROR(B1114/B1113,0)</f>
        <v/>
      </c>
    </row>
    <row r="1116">
      <c r="A1116" s="6" t="inlineStr">
        <is>
          <t>CPC</t>
        </is>
      </c>
      <c r="B1116" s="8">
        <f>IFERROR(B1122/B1114,0)</f>
        <v/>
      </c>
    </row>
    <row r="1117">
      <c r="A1117" s="6" t="inlineStr">
        <is>
          <t>Конверсия в заявку</t>
        </is>
      </c>
      <c r="B1117" s="7">
        <f>IFERROR(B1118/B1114,0)</f>
        <v/>
      </c>
    </row>
    <row r="1118">
      <c r="A1118" s="4" t="inlineStr">
        <is>
          <t>Лид 1</t>
        </is>
      </c>
      <c r="B1118" s="5" t="n">
        <v>0</v>
      </c>
    </row>
    <row r="1119">
      <c r="A1119" s="6" t="inlineStr">
        <is>
          <t>Стоимость Лида 1</t>
        </is>
      </c>
      <c r="B1119" s="9">
        <f>IFERROR(B1122/B1118,0)</f>
        <v/>
      </c>
    </row>
    <row r="1120">
      <c r="A1120" s="4" t="inlineStr">
        <is>
          <t>Лиды 2</t>
        </is>
      </c>
      <c r="B1120" s="5" t="n">
        <v>0</v>
      </c>
    </row>
    <row r="1121">
      <c r="A1121" s="6" t="inlineStr">
        <is>
          <t>Стоимость Лида 2</t>
        </is>
      </c>
      <c r="B1121" s="9">
        <f>IFERROR(B1122/B1120,0)</f>
        <v/>
      </c>
    </row>
    <row r="1122">
      <c r="A1122" s="4" t="inlineStr">
        <is>
          <t>Рекламный бюджет</t>
        </is>
      </c>
      <c r="B1122" s="10" t="n">
        <v>0</v>
      </c>
    </row>
    <row r="1123">
      <c r="A1123" s="4" t="inlineStr">
        <is>
          <t>Лиды 3</t>
        </is>
      </c>
      <c r="B1123" s="5" t="n">
        <v>0</v>
      </c>
    </row>
    <row r="1124">
      <c r="A1124" s="6" t="inlineStr">
        <is>
          <t>Стоимость Лида 3</t>
        </is>
      </c>
      <c r="B1124" s="9">
        <f>IFERROR(B1122/B1123,0)</f>
        <v/>
      </c>
    </row>
    <row r="1125">
      <c r="A1125" s="4" t="inlineStr">
        <is>
          <t>ВП</t>
        </is>
      </c>
      <c r="B1125" s="10" t="n">
        <v>0</v>
      </c>
    </row>
    <row r="1126">
      <c r="A1126" s="4" t="inlineStr">
        <is>
          <t>Продажи</t>
        </is>
      </c>
      <c r="B1126" s="5" t="n">
        <v>0</v>
      </c>
    </row>
    <row r="1127">
      <c r="A1127" s="6" t="inlineStr">
        <is>
          <t>Средний чек</t>
        </is>
      </c>
      <c r="B1127" s="9">
        <f>IFERROR(B1125/B1126,0)</f>
        <v/>
      </c>
    </row>
    <row r="1130">
      <c r="A1130" s="13" t="inlineStr">
        <is>
          <t>CROSSAIR-COMPRESSOR.RU</t>
        </is>
      </c>
      <c r="B1130" s="14" t="n"/>
    </row>
    <row r="1131">
      <c r="A1131" s="15" t="inlineStr">
        <is>
          <t>Общие</t>
        </is>
      </c>
      <c r="B1131" s="16">
        <f>B$1</f>
        <v/>
      </c>
    </row>
    <row r="1132">
      <c r="A1132" s="4" t="inlineStr">
        <is>
          <t>Показы</t>
        </is>
      </c>
      <c r="B1132" s="5">
        <f>B1152+B1169+B1186+B1203+B1220</f>
        <v/>
      </c>
    </row>
    <row r="1133">
      <c r="A1133" s="4" t="inlineStr">
        <is>
          <t>Визиты</t>
        </is>
      </c>
      <c r="B1133" s="5">
        <f>B1153+B1170+B1187+B1204+B1221</f>
        <v/>
      </c>
    </row>
    <row r="1134">
      <c r="A1134" s="6" t="inlineStr">
        <is>
          <t>CTR</t>
        </is>
      </c>
      <c r="B1134" s="7">
        <f>IFERROR(B1133/B1132,0)</f>
        <v/>
      </c>
    </row>
    <row r="1135">
      <c r="A1135" s="6" t="inlineStr">
        <is>
          <t>CPC</t>
        </is>
      </c>
      <c r="B1135" s="8">
        <f>IFERROR(B1141/B1133,0)</f>
        <v/>
      </c>
    </row>
    <row r="1136">
      <c r="A1136" s="6" t="inlineStr">
        <is>
          <t>Конверсия в заявку</t>
        </is>
      </c>
      <c r="B1136" s="7">
        <f>IFERROR(B1137/B1133,0)</f>
        <v/>
      </c>
    </row>
    <row r="1137">
      <c r="A1137" s="4" t="inlineStr">
        <is>
          <t>Лид 1</t>
        </is>
      </c>
      <c r="B1137" s="5">
        <f>B1157+B1174+B1191+B1208+B1225</f>
        <v/>
      </c>
    </row>
    <row r="1138">
      <c r="A1138" s="6" t="inlineStr">
        <is>
          <t>Стоимость Лида 1</t>
        </is>
      </c>
      <c r="B1138" s="9">
        <f>IFERROR(B1141/B1137,0)</f>
        <v/>
      </c>
    </row>
    <row r="1139">
      <c r="A1139" s="4" t="inlineStr">
        <is>
          <t>Лиды 2</t>
        </is>
      </c>
      <c r="B1139" s="5">
        <f>B1159+B1176+B1193+B1210+B1227</f>
        <v/>
      </c>
    </row>
    <row r="1140">
      <c r="A1140" s="6" t="inlineStr">
        <is>
          <t>Стоимость Лида 2</t>
        </is>
      </c>
      <c r="B1140" s="9">
        <f>IFERROR(B1141/B1139,0)</f>
        <v/>
      </c>
    </row>
    <row r="1141">
      <c r="A1141" s="4" t="inlineStr">
        <is>
          <t>Рекламный бюджет</t>
        </is>
      </c>
      <c r="B1141" s="10">
        <f>B1161+B1178+B1195+B1212+B1229</f>
        <v/>
      </c>
    </row>
    <row r="1142">
      <c r="A1142" s="4" t="inlineStr">
        <is>
          <t>Лиды 3</t>
        </is>
      </c>
      <c r="B1142" s="5">
        <f>B1162+B1179+B1196+B1213+B1230</f>
        <v/>
      </c>
    </row>
    <row r="1143">
      <c r="A1143" s="6" t="inlineStr">
        <is>
          <t>Стоимость Лида 3</t>
        </is>
      </c>
      <c r="B1143" s="9">
        <f>IFERROR(B1141/B1142,0)</f>
        <v/>
      </c>
    </row>
    <row r="1144">
      <c r="A1144" s="4" t="inlineStr">
        <is>
          <t>ВП</t>
        </is>
      </c>
      <c r="B1144" s="10">
        <f>B1164+B1181+B1198+B1215+B1232</f>
        <v/>
      </c>
    </row>
    <row r="1145">
      <c r="A1145" s="4" t="inlineStr">
        <is>
          <t>Продажи</t>
        </is>
      </c>
      <c r="B1145" s="5">
        <f>B1165+B1182+B1199+B1216+B1233</f>
        <v/>
      </c>
    </row>
    <row r="1146">
      <c r="A1146" s="6" t="inlineStr">
        <is>
          <t>Средний чек</t>
        </is>
      </c>
      <c r="B1146" s="9">
        <f>IFERROR(B1144/B1145,0)</f>
        <v/>
      </c>
    </row>
    <row r="1148">
      <c r="A1148" s="11" t="inlineStr">
        <is>
          <t>Вывод по сделкам за неделю</t>
        </is>
      </c>
    </row>
    <row r="1149" ht="45" customHeight="1">
      <c r="A1149" s="12" t="inlineStr">
        <is>
          <t>За неделю создано 3 сделки: 1 сделка на 7,5 кВт, 1 сделка на 11 кВт и 1 сделка на 22 кВт. В работе 2 сделки, успешно завершённых нет, провалена 1. В сделках в работе: 1 винтовой компрессор на 7,5 кВт и 1 винтовой компрессор на 22 кВт. Ориентировочная сумма активных сделок — 769 тыс. руб.</t>
        </is>
      </c>
    </row>
    <row r="1151">
      <c r="A1151" s="15" t="inlineStr">
        <is>
          <t>[Поиск и РСЯ] Товарка2 crossair от 31.07.26</t>
        </is>
      </c>
      <c r="B1151" s="16">
        <f>B$1</f>
        <v/>
      </c>
    </row>
    <row r="1152">
      <c r="A1152" s="4" t="inlineStr">
        <is>
          <t>Показы</t>
        </is>
      </c>
      <c r="B1152" s="5" t="n">
        <v>325196</v>
      </c>
    </row>
    <row r="1153">
      <c r="A1153" s="4" t="inlineStr">
        <is>
          <t>Визиты</t>
        </is>
      </c>
      <c r="B1153" s="5" t="n">
        <v>6004</v>
      </c>
    </row>
    <row r="1154">
      <c r="A1154" s="6" t="inlineStr">
        <is>
          <t>CTR</t>
        </is>
      </c>
      <c r="B1154" s="7">
        <f>IFERROR(B1153/B1152,0)</f>
        <v/>
      </c>
    </row>
    <row r="1155">
      <c r="A1155" s="6" t="inlineStr">
        <is>
          <t>CPC</t>
        </is>
      </c>
      <c r="B1155" s="8">
        <f>IFERROR(B1161/B1153,0)</f>
        <v/>
      </c>
    </row>
    <row r="1156">
      <c r="A1156" s="6" t="inlineStr">
        <is>
          <t>Конверсия в заявку</t>
        </is>
      </c>
      <c r="B1156" s="7">
        <f>IFERROR(B1157/B1153,0)</f>
        <v/>
      </c>
    </row>
    <row r="1157">
      <c r="A1157" s="4" t="inlineStr">
        <is>
          <t>Лид 1</t>
        </is>
      </c>
      <c r="B1157" s="5" t="n">
        <v>5</v>
      </c>
    </row>
    <row r="1158">
      <c r="A1158" s="6" t="inlineStr">
        <is>
          <t>Стоимость Лида 1</t>
        </is>
      </c>
      <c r="B1158" s="9">
        <f>IFERROR(B1161/B1157,0)</f>
        <v/>
      </c>
    </row>
    <row r="1159">
      <c r="A1159" s="4" t="inlineStr">
        <is>
          <t>Лиды 2</t>
        </is>
      </c>
      <c r="B1159" s="5" t="n">
        <v>3</v>
      </c>
    </row>
    <row r="1160">
      <c r="A1160" s="6" t="inlineStr">
        <is>
          <t>Стоимость Лида 2</t>
        </is>
      </c>
      <c r="B1160" s="9">
        <f>IFERROR(B1161/B1159,0)</f>
        <v/>
      </c>
    </row>
    <row r="1161">
      <c r="A1161" s="4" t="inlineStr">
        <is>
          <t>Рекламный бюджет</t>
        </is>
      </c>
      <c r="B1161" s="10" t="n">
        <v>26312.93520000001</v>
      </c>
    </row>
    <row r="1162">
      <c r="A1162" s="4" t="inlineStr">
        <is>
          <t>Лиды 3</t>
        </is>
      </c>
      <c r="B1162" s="5" t="n">
        <v>1</v>
      </c>
    </row>
    <row r="1163">
      <c r="A1163" s="6" t="inlineStr">
        <is>
          <t>Стоимость Лида 3</t>
        </is>
      </c>
      <c r="B1163" s="9">
        <f>IFERROR(B1161/B1162,0)</f>
        <v/>
      </c>
    </row>
    <row r="1164">
      <c r="A1164" s="4" t="inlineStr">
        <is>
          <t>ВП</t>
        </is>
      </c>
      <c r="B1164" s="10" t="n">
        <v>0</v>
      </c>
    </row>
    <row r="1165">
      <c r="A1165" s="4" t="inlineStr">
        <is>
          <t>Продажи</t>
        </is>
      </c>
      <c r="B1165" s="5" t="n">
        <v>0</v>
      </c>
    </row>
    <row r="1166">
      <c r="A1166" s="6" t="inlineStr">
        <is>
          <t>Средний чек</t>
        </is>
      </c>
      <c r="B1166" s="9">
        <f>IFERROR(B1164/B1165,0)</f>
        <v/>
      </c>
    </row>
    <row r="1168">
      <c r="A1168" s="15" t="inlineStr">
        <is>
          <t>[Поиск и РСЯ] Товарка crossair от 22.06.26</t>
        </is>
      </c>
      <c r="B1168" s="16">
        <f>B$1</f>
        <v/>
      </c>
    </row>
    <row r="1169">
      <c r="A1169" s="4" t="inlineStr">
        <is>
          <t>Показы</t>
        </is>
      </c>
      <c r="B1169" s="5" t="n">
        <v>325079</v>
      </c>
    </row>
    <row r="1170">
      <c r="A1170" s="4" t="inlineStr">
        <is>
          <t>Визиты</t>
        </is>
      </c>
      <c r="B1170" s="5" t="n">
        <v>3801</v>
      </c>
    </row>
    <row r="1171">
      <c r="A1171" s="6" t="inlineStr">
        <is>
          <t>CTR</t>
        </is>
      </c>
      <c r="B1171" s="7">
        <f>IFERROR(B1170/B1169,0)</f>
        <v/>
      </c>
    </row>
    <row r="1172">
      <c r="A1172" s="6" t="inlineStr">
        <is>
          <t>CPC</t>
        </is>
      </c>
      <c r="B1172" s="8">
        <f>IFERROR(B1178/B1170,0)</f>
        <v/>
      </c>
    </row>
    <row r="1173">
      <c r="A1173" s="6" t="inlineStr">
        <is>
          <t>Конверсия в заявку</t>
        </is>
      </c>
      <c r="B1173" s="7">
        <f>IFERROR(B1174/B1170,0)</f>
        <v/>
      </c>
    </row>
    <row r="1174">
      <c r="A1174" s="4" t="inlineStr">
        <is>
          <t>Лид 1</t>
        </is>
      </c>
      <c r="B1174" s="5" t="n">
        <v>2</v>
      </c>
    </row>
    <row r="1175">
      <c r="A1175" s="6" t="inlineStr">
        <is>
          <t>Стоимость Лида 1</t>
        </is>
      </c>
      <c r="B1175" s="9">
        <f>IFERROR(B1178/B1174,0)</f>
        <v/>
      </c>
    </row>
    <row r="1176">
      <c r="A1176" s="4" t="inlineStr">
        <is>
          <t>Лиды 2</t>
        </is>
      </c>
      <c r="B1176" s="5" t="n">
        <v>0</v>
      </c>
    </row>
    <row r="1177">
      <c r="A1177" s="6" t="inlineStr">
        <is>
          <t>Стоимость Лида 2</t>
        </is>
      </c>
      <c r="B1177" s="9">
        <f>IFERROR(B1178/B1176,0)</f>
        <v/>
      </c>
    </row>
    <row r="1178">
      <c r="A1178" s="4" t="inlineStr">
        <is>
          <t>Рекламный бюджет</t>
        </is>
      </c>
      <c r="B1178" s="10" t="n">
        <v>18288.34319999999</v>
      </c>
    </row>
    <row r="1179">
      <c r="A1179" s="4" t="inlineStr">
        <is>
          <t>Лиды 3</t>
        </is>
      </c>
      <c r="B1179" s="5" t="n">
        <v>0</v>
      </c>
    </row>
    <row r="1180">
      <c r="A1180" s="6" t="inlineStr">
        <is>
          <t>Стоимость Лида 3</t>
        </is>
      </c>
      <c r="B1180" s="9">
        <f>IFERROR(B1178/B1179,0)</f>
        <v/>
      </c>
    </row>
    <row r="1181">
      <c r="A1181" s="4" t="inlineStr">
        <is>
          <t>ВП</t>
        </is>
      </c>
      <c r="B1181" s="10" t="n">
        <v>0</v>
      </c>
    </row>
    <row r="1182">
      <c r="A1182" s="4" t="inlineStr">
        <is>
          <t>Продажи</t>
        </is>
      </c>
      <c r="B1182" s="5" t="n">
        <v>0</v>
      </c>
    </row>
    <row r="1183">
      <c r="A1183" s="6" t="inlineStr">
        <is>
          <t>Средний чек</t>
        </is>
      </c>
      <c r="B1183" s="9">
        <f>IFERROR(B1181/B1182,0)</f>
        <v/>
      </c>
    </row>
    <row r="1185">
      <c r="A1185" s="15" t="inlineStr">
        <is>
          <t>[Поиск] Cross Air бренд без моделей</t>
        </is>
      </c>
      <c r="B1185" s="16">
        <f>B$1</f>
        <v/>
      </c>
    </row>
    <row r="1186">
      <c r="A1186" s="4" t="inlineStr">
        <is>
          <t>Показы</t>
        </is>
      </c>
      <c r="B1186" s="5" t="n">
        <v>297</v>
      </c>
    </row>
    <row r="1187">
      <c r="A1187" s="4" t="inlineStr">
        <is>
          <t>Визиты</t>
        </is>
      </c>
      <c r="B1187" s="5" t="n">
        <v>35</v>
      </c>
    </row>
    <row r="1188">
      <c r="A1188" s="6" t="inlineStr">
        <is>
          <t>CTR</t>
        </is>
      </c>
      <c r="B1188" s="7">
        <f>IFERROR(B1187/B1186,0)</f>
        <v/>
      </c>
    </row>
    <row r="1189">
      <c r="A1189" s="6" t="inlineStr">
        <is>
          <t>CPC</t>
        </is>
      </c>
      <c r="B1189" s="8">
        <f>IFERROR(B1195/B1187,0)</f>
        <v/>
      </c>
    </row>
    <row r="1190">
      <c r="A1190" s="6" t="inlineStr">
        <is>
          <t>Конверсия в заявку</t>
        </is>
      </c>
      <c r="B1190" s="7">
        <f>IFERROR(B1191/B1187,0)</f>
        <v/>
      </c>
    </row>
    <row r="1191">
      <c r="A1191" s="4" t="inlineStr">
        <is>
          <t>Лид 1</t>
        </is>
      </c>
      <c r="B1191" s="5" t="n">
        <v>2</v>
      </c>
    </row>
    <row r="1192">
      <c r="A1192" s="6" t="inlineStr">
        <is>
          <t>Стоимость Лида 1</t>
        </is>
      </c>
      <c r="B1192" s="9">
        <f>IFERROR(B1195/B1191,0)</f>
        <v/>
      </c>
    </row>
    <row r="1193">
      <c r="A1193" s="4" t="inlineStr">
        <is>
          <t>Лиды 2</t>
        </is>
      </c>
      <c r="B1193" s="5" t="n">
        <v>2</v>
      </c>
    </row>
    <row r="1194">
      <c r="A1194" s="6" t="inlineStr">
        <is>
          <t>Стоимость Лида 2</t>
        </is>
      </c>
      <c r="B1194" s="9">
        <f>IFERROR(B1195/B1193,0)</f>
        <v/>
      </c>
    </row>
    <row r="1195">
      <c r="A1195" s="4" t="inlineStr">
        <is>
          <t>Рекламный бюджет</t>
        </is>
      </c>
      <c r="B1195" s="10" t="n">
        <v>15450.612</v>
      </c>
    </row>
    <row r="1196">
      <c r="A1196" s="4" t="inlineStr">
        <is>
          <t>Лиды 3</t>
        </is>
      </c>
      <c r="B1196" s="5" t="n">
        <v>1</v>
      </c>
    </row>
    <row r="1197">
      <c r="A1197" s="6" t="inlineStr">
        <is>
          <t>Стоимость Лида 3</t>
        </is>
      </c>
      <c r="B1197" s="9">
        <f>IFERROR(B1195/B1196,0)</f>
        <v/>
      </c>
    </row>
    <row r="1198">
      <c r="A1198" s="4" t="inlineStr">
        <is>
          <t>ВП</t>
        </is>
      </c>
      <c r="B1198" s="10" t="n">
        <v>0</v>
      </c>
    </row>
    <row r="1199">
      <c r="A1199" s="4" t="inlineStr">
        <is>
          <t>Продажи</t>
        </is>
      </c>
      <c r="B1199" s="5" t="n">
        <v>0</v>
      </c>
    </row>
    <row r="1200">
      <c r="A1200" s="6" t="inlineStr">
        <is>
          <t>Средний чек</t>
        </is>
      </c>
      <c r="B1200" s="9">
        <f>IFERROR(B1198/B1199,0)</f>
        <v/>
      </c>
    </row>
    <row r="1202">
      <c r="A1202" s="15" t="inlineStr">
        <is>
          <t>[Поиск]  по моделям</t>
        </is>
      </c>
      <c r="B1202" s="16">
        <f>B$1</f>
        <v/>
      </c>
    </row>
    <row r="1203">
      <c r="A1203" s="4" t="inlineStr">
        <is>
          <t>Показы</t>
        </is>
      </c>
      <c r="B1203" s="5" t="n">
        <v>159</v>
      </c>
    </row>
    <row r="1204">
      <c r="A1204" s="4" t="inlineStr">
        <is>
          <t>Визиты</t>
        </is>
      </c>
      <c r="B1204" s="5" t="n">
        <v>20</v>
      </c>
    </row>
    <row r="1205">
      <c r="A1205" s="6" t="inlineStr">
        <is>
          <t>CTR</t>
        </is>
      </c>
      <c r="B1205" s="7">
        <f>IFERROR(B1204/B1203,0)</f>
        <v/>
      </c>
    </row>
    <row r="1206">
      <c r="A1206" s="6" t="inlineStr">
        <is>
          <t>CPC</t>
        </is>
      </c>
      <c r="B1206" s="8">
        <f>IFERROR(B1212/B1204,0)</f>
        <v/>
      </c>
    </row>
    <row r="1207">
      <c r="A1207" s="6" t="inlineStr">
        <is>
          <t>Конверсия в заявку</t>
        </is>
      </c>
      <c r="B1207" s="7">
        <f>IFERROR(B1208/B1204,0)</f>
        <v/>
      </c>
    </row>
    <row r="1208">
      <c r="A1208" s="4" t="inlineStr">
        <is>
          <t>Лид 1</t>
        </is>
      </c>
      <c r="B1208" s="5" t="n">
        <v>1</v>
      </c>
    </row>
    <row r="1209">
      <c r="A1209" s="6" t="inlineStr">
        <is>
          <t>Стоимость Лида 1</t>
        </is>
      </c>
      <c r="B1209" s="9">
        <f>IFERROR(B1212/B1208,0)</f>
        <v/>
      </c>
    </row>
    <row r="1210">
      <c r="A1210" s="4" t="inlineStr">
        <is>
          <t>Лиды 2</t>
        </is>
      </c>
      <c r="B1210" s="5" t="n">
        <v>0</v>
      </c>
    </row>
    <row r="1211">
      <c r="A1211" s="6" t="inlineStr">
        <is>
          <t>Стоимость Лида 2</t>
        </is>
      </c>
      <c r="B1211" s="9">
        <f>IFERROR(B1212/B1210,0)</f>
        <v/>
      </c>
    </row>
    <row r="1212">
      <c r="A1212" s="4" t="inlineStr">
        <is>
          <t>Рекламный бюджет</t>
        </is>
      </c>
      <c r="B1212" s="10" t="n">
        <v>10545.84</v>
      </c>
    </row>
    <row r="1213">
      <c r="A1213" s="4" t="inlineStr">
        <is>
          <t>Лиды 3</t>
        </is>
      </c>
      <c r="B1213" s="5" t="n">
        <v>0</v>
      </c>
    </row>
    <row r="1214">
      <c r="A1214" s="6" t="inlineStr">
        <is>
          <t>Стоимость Лида 3</t>
        </is>
      </c>
      <c r="B1214" s="9">
        <f>IFERROR(B1212/B1213,0)</f>
        <v/>
      </c>
    </row>
    <row r="1215">
      <c r="A1215" s="4" t="inlineStr">
        <is>
          <t>ВП</t>
        </is>
      </c>
      <c r="B1215" s="10" t="n">
        <v>0</v>
      </c>
    </row>
    <row r="1216">
      <c r="A1216" s="4" t="inlineStr">
        <is>
          <t>Продажи</t>
        </is>
      </c>
      <c r="B1216" s="5" t="n">
        <v>0</v>
      </c>
    </row>
    <row r="1217">
      <c r="A1217" s="6" t="inlineStr">
        <is>
          <t>Средний чек</t>
        </is>
      </c>
      <c r="B1217" s="9">
        <f>IFERROR(B1215/B1216,0)</f>
        <v/>
      </c>
    </row>
    <row r="1219">
      <c r="A1219" s="15" t="inlineStr">
        <is>
          <t>Не привязано к кампании</t>
        </is>
      </c>
      <c r="B1219" s="16">
        <f>B$1</f>
        <v/>
      </c>
    </row>
    <row r="1220">
      <c r="A1220" s="4" t="inlineStr">
        <is>
          <t>Показы</t>
        </is>
      </c>
      <c r="B1220" s="5" t="n">
        <v>0</v>
      </c>
    </row>
    <row r="1221">
      <c r="A1221" s="4" t="inlineStr">
        <is>
          <t>Визиты</t>
        </is>
      </c>
      <c r="B1221" s="5" t="n">
        <v>0</v>
      </c>
    </row>
    <row r="1222">
      <c r="A1222" s="6" t="inlineStr">
        <is>
          <t>CTR</t>
        </is>
      </c>
      <c r="B1222" s="7">
        <f>IFERROR(B1221/B1220,0)</f>
        <v/>
      </c>
    </row>
    <row r="1223">
      <c r="A1223" s="6" t="inlineStr">
        <is>
          <t>CPC</t>
        </is>
      </c>
      <c r="B1223" s="8">
        <f>IFERROR(B1229/B1221,0)</f>
        <v/>
      </c>
    </row>
    <row r="1224">
      <c r="A1224" s="6" t="inlineStr">
        <is>
          <t>Конверсия в заявку</t>
        </is>
      </c>
      <c r="B1224" s="7">
        <f>IFERROR(B1225/B1221,0)</f>
        <v/>
      </c>
    </row>
    <row r="1225">
      <c r="A1225" s="4" t="inlineStr">
        <is>
          <t>Лид 1</t>
        </is>
      </c>
      <c r="B1225" s="5" t="n">
        <v>5</v>
      </c>
    </row>
    <row r="1226">
      <c r="A1226" s="6" t="inlineStr">
        <is>
          <t>Стоимость Лида 1</t>
        </is>
      </c>
      <c r="B1226" s="9">
        <f>IFERROR(B1229/B1225,0)</f>
        <v/>
      </c>
    </row>
    <row r="1227">
      <c r="A1227" s="4" t="inlineStr">
        <is>
          <t>Лиды 2</t>
        </is>
      </c>
      <c r="B1227" s="5" t="n">
        <v>5</v>
      </c>
    </row>
    <row r="1228">
      <c r="A1228" s="6" t="inlineStr">
        <is>
          <t>Стоимость Лида 2</t>
        </is>
      </c>
      <c r="B1228" s="9">
        <f>IFERROR(B1229/B1227,0)</f>
        <v/>
      </c>
    </row>
    <row r="1229">
      <c r="A1229" s="4" t="inlineStr">
        <is>
          <t>Рекламный бюджет</t>
        </is>
      </c>
      <c r="B1229" s="10" t="n">
        <v>0</v>
      </c>
    </row>
    <row r="1230">
      <c r="A1230" s="4" t="inlineStr">
        <is>
          <t>Лиды 3</t>
        </is>
      </c>
      <c r="B1230" s="5" t="n">
        <v>1</v>
      </c>
    </row>
    <row r="1231">
      <c r="A1231" s="6" t="inlineStr">
        <is>
          <t>Стоимость Лида 3</t>
        </is>
      </c>
      <c r="B1231" s="9">
        <f>IFERROR(B1229/B1230,0)</f>
        <v/>
      </c>
    </row>
    <row r="1232">
      <c r="A1232" s="4" t="inlineStr">
        <is>
          <t>ВП</t>
        </is>
      </c>
      <c r="B1232" s="10" t="n">
        <v>0</v>
      </c>
    </row>
    <row r="1233">
      <c r="A1233" s="4" t="inlineStr">
        <is>
          <t>Продажи</t>
        </is>
      </c>
      <c r="B1233" s="5" t="n">
        <v>0</v>
      </c>
    </row>
    <row r="1234">
      <c r="A1234" s="6" t="inlineStr">
        <is>
          <t>Средний чек</t>
        </is>
      </c>
      <c r="B1234" s="9">
        <f>IFERROR(B1232/B1233,0)</f>
        <v/>
      </c>
    </row>
    <row r="1237">
      <c r="A1237" s="13" t="inlineStr">
        <is>
          <t>REMEZA-KOMPRESSOR.RU</t>
        </is>
      </c>
      <c r="B1237" s="14" t="n"/>
    </row>
    <row r="1238">
      <c r="A1238" s="15" t="inlineStr">
        <is>
          <t>Общие</t>
        </is>
      </c>
      <c r="B1238" s="16">
        <f>B$1</f>
        <v/>
      </c>
    </row>
    <row r="1239">
      <c r="A1239" s="4" t="inlineStr">
        <is>
          <t>Показы</t>
        </is>
      </c>
      <c r="B1239" s="5">
        <f>B1259+B1276+B1293+B1310</f>
        <v/>
      </c>
    </row>
    <row r="1240">
      <c r="A1240" s="4" t="inlineStr">
        <is>
          <t>Визиты</t>
        </is>
      </c>
      <c r="B1240" s="5">
        <f>B1260+B1277+B1294+B1311</f>
        <v/>
      </c>
    </row>
    <row r="1241">
      <c r="A1241" s="6" t="inlineStr">
        <is>
          <t>CTR</t>
        </is>
      </c>
      <c r="B1241" s="7">
        <f>IFERROR(B1240/B1239,0)</f>
        <v/>
      </c>
    </row>
    <row r="1242">
      <c r="A1242" s="6" t="inlineStr">
        <is>
          <t>CPC</t>
        </is>
      </c>
      <c r="B1242" s="8">
        <f>IFERROR(B1248/B1240,0)</f>
        <v/>
      </c>
    </row>
    <row r="1243">
      <c r="A1243" s="6" t="inlineStr">
        <is>
          <t>Конверсия в заявку</t>
        </is>
      </c>
      <c r="B1243" s="7">
        <f>IFERROR(B1244/B1240,0)</f>
        <v/>
      </c>
    </row>
    <row r="1244">
      <c r="A1244" s="4" t="inlineStr">
        <is>
          <t>Лид 1</t>
        </is>
      </c>
      <c r="B1244" s="5">
        <f>B1264+B1281+B1298+B1315</f>
        <v/>
      </c>
    </row>
    <row r="1245">
      <c r="A1245" s="6" t="inlineStr">
        <is>
          <t>Стоимость Лида 1</t>
        </is>
      </c>
      <c r="B1245" s="9">
        <f>IFERROR(B1248/B1244,0)</f>
        <v/>
      </c>
    </row>
    <row r="1246">
      <c r="A1246" s="4" t="inlineStr">
        <is>
          <t>Лиды 2</t>
        </is>
      </c>
      <c r="B1246" s="5">
        <f>B1266+B1283+B1300+B1317</f>
        <v/>
      </c>
    </row>
    <row r="1247">
      <c r="A1247" s="6" t="inlineStr">
        <is>
          <t>Стоимость Лида 2</t>
        </is>
      </c>
      <c r="B1247" s="9">
        <f>IFERROR(B1248/B1246,0)</f>
        <v/>
      </c>
    </row>
    <row r="1248">
      <c r="A1248" s="4" t="inlineStr">
        <is>
          <t>Рекламный бюджет</t>
        </is>
      </c>
      <c r="B1248" s="10">
        <f>B1268+B1285+B1302+B1319</f>
        <v/>
      </c>
    </row>
    <row r="1249">
      <c r="A1249" s="4" t="inlineStr">
        <is>
          <t>Лиды 3</t>
        </is>
      </c>
      <c r="B1249" s="5">
        <f>B1269+B1286+B1303+B1320</f>
        <v/>
      </c>
    </row>
    <row r="1250">
      <c r="A1250" s="6" t="inlineStr">
        <is>
          <t>Стоимость Лида 3</t>
        </is>
      </c>
      <c r="B1250" s="9">
        <f>IFERROR(B1248/B1249,0)</f>
        <v/>
      </c>
    </row>
    <row r="1251">
      <c r="A1251" s="4" t="inlineStr">
        <is>
          <t>ВП</t>
        </is>
      </c>
      <c r="B1251" s="10">
        <f>B1271+B1288+B1305+B1322</f>
        <v/>
      </c>
    </row>
    <row r="1252">
      <c r="A1252" s="4" t="inlineStr">
        <is>
          <t>Продажи</t>
        </is>
      </c>
      <c r="B1252" s="5">
        <f>B1272+B1289+B1306+B1323</f>
        <v/>
      </c>
    </row>
    <row r="1253">
      <c r="A1253" s="6" t="inlineStr">
        <is>
          <t>Средний чек</t>
        </is>
      </c>
      <c r="B1253" s="9">
        <f>IFERROR(B1251/B1252,0)</f>
        <v/>
      </c>
    </row>
    <row r="1255">
      <c r="A1255" s="11" t="inlineStr">
        <is>
          <t>Вывод по сделкам за неделю</t>
        </is>
      </c>
    </row>
    <row r="1256" ht="60" customHeight="1">
      <c r="A1256" s="12" t="inlineStr">
        <is>
          <t>За неделю создано 4 сделки: 1 сделка на 5,5 кВт, 1 сделка на 15 кВт, 1 сделка на 37 кВт и в 1 сделке мощность не заполнена. В работе 4 сделки, успешно завершённых нет, проваленных нет. В сделках в работе: 1 винтовой компрессор на 5,5 кВт, 1 винтовой компрессор на 15 кВт, 1 винтовой компрессор на 37 кВт и 1 осушитель без указания мощности. Ориентировочная сумма активных сделок — 3,4 млн руб.</t>
        </is>
      </c>
    </row>
    <row r="1258">
      <c r="A1258" s="15" t="inlineStr">
        <is>
          <t>[Товарка] remeza-kompressor.ru от 03.06.26</t>
        </is>
      </c>
      <c r="B1258" s="16">
        <f>B$1</f>
        <v/>
      </c>
    </row>
    <row r="1259">
      <c r="A1259" s="4" t="inlineStr">
        <is>
          <t>Показы</t>
        </is>
      </c>
      <c r="B1259" s="5" t="n">
        <v>84573</v>
      </c>
    </row>
    <row r="1260">
      <c r="A1260" s="4" t="inlineStr">
        <is>
          <t>Визиты</t>
        </is>
      </c>
      <c r="B1260" s="5" t="n">
        <v>1989</v>
      </c>
    </row>
    <row r="1261">
      <c r="A1261" s="6" t="inlineStr">
        <is>
          <t>CTR</t>
        </is>
      </c>
      <c r="B1261" s="7">
        <f>IFERROR(B1260/B1259,0)</f>
        <v/>
      </c>
    </row>
    <row r="1262">
      <c r="A1262" s="6" t="inlineStr">
        <is>
          <t>CPC</t>
        </is>
      </c>
      <c r="B1262" s="8">
        <f>IFERROR(B1268/B1260,0)</f>
        <v/>
      </c>
    </row>
    <row r="1263">
      <c r="A1263" s="6" t="inlineStr">
        <is>
          <t>Конверсия в заявку</t>
        </is>
      </c>
      <c r="B1263" s="7">
        <f>IFERROR(B1264/B1260,0)</f>
        <v/>
      </c>
    </row>
    <row r="1264">
      <c r="A1264" s="4" t="inlineStr">
        <is>
          <t>Лид 1</t>
        </is>
      </c>
      <c r="B1264" s="5" t="n">
        <v>14</v>
      </c>
    </row>
    <row r="1265">
      <c r="A1265" s="6" t="inlineStr">
        <is>
          <t>Стоимость Лида 1</t>
        </is>
      </c>
      <c r="B1265" s="9">
        <f>IFERROR(B1268/B1264,0)</f>
        <v/>
      </c>
    </row>
    <row r="1266">
      <c r="A1266" s="4" t="inlineStr">
        <is>
          <t>Лиды 2</t>
        </is>
      </c>
      <c r="B1266" s="5" t="n">
        <v>13</v>
      </c>
    </row>
    <row r="1267">
      <c r="A1267" s="6" t="inlineStr">
        <is>
          <t>Стоимость Лида 2</t>
        </is>
      </c>
      <c r="B1267" s="9">
        <f>IFERROR(B1268/B1266,0)</f>
        <v/>
      </c>
    </row>
    <row r="1268">
      <c r="A1268" s="4" t="inlineStr">
        <is>
          <t>Рекламный бюджет</t>
        </is>
      </c>
      <c r="B1268" s="10" t="n">
        <v>44829.59399999995</v>
      </c>
    </row>
    <row r="1269">
      <c r="A1269" s="4" t="inlineStr">
        <is>
          <t>Лиды 3</t>
        </is>
      </c>
      <c r="B1269" s="5" t="n">
        <v>3</v>
      </c>
    </row>
    <row r="1270">
      <c r="A1270" s="6" t="inlineStr">
        <is>
          <t>Стоимость Лида 3</t>
        </is>
      </c>
      <c r="B1270" s="9">
        <f>IFERROR(B1268/B1269,0)</f>
        <v/>
      </c>
    </row>
    <row r="1271">
      <c r="A1271" s="4" t="inlineStr">
        <is>
          <t>ВП</t>
        </is>
      </c>
      <c r="B1271" s="10" t="n">
        <v>0</v>
      </c>
    </row>
    <row r="1272">
      <c r="A1272" s="4" t="inlineStr">
        <is>
          <t>Продажи</t>
        </is>
      </c>
      <c r="B1272" s="5" t="n">
        <v>0</v>
      </c>
    </row>
    <row r="1273">
      <c r="A1273" s="6" t="inlineStr">
        <is>
          <t>Средний чек</t>
        </is>
      </c>
      <c r="B1273" s="9">
        <f>IFERROR(B1271/B1272,0)</f>
        <v/>
      </c>
    </row>
    <row r="1275">
      <c r="A1275" s="15" t="inlineStr">
        <is>
          <t>[МК] КВИЗ</t>
        </is>
      </c>
      <c r="B1275" s="16">
        <f>B$1</f>
        <v/>
      </c>
    </row>
    <row r="1276">
      <c r="A1276" s="4" t="inlineStr">
        <is>
          <t>Показы</t>
        </is>
      </c>
      <c r="B1276" s="5" t="n">
        <v>35937</v>
      </c>
    </row>
    <row r="1277">
      <c r="A1277" s="4" t="inlineStr">
        <is>
          <t>Визиты</t>
        </is>
      </c>
      <c r="B1277" s="5" t="n">
        <v>345</v>
      </c>
    </row>
    <row r="1278">
      <c r="A1278" s="6" t="inlineStr">
        <is>
          <t>CTR</t>
        </is>
      </c>
      <c r="B1278" s="7">
        <f>IFERROR(B1277/B1276,0)</f>
        <v/>
      </c>
    </row>
    <row r="1279">
      <c r="A1279" s="6" t="inlineStr">
        <is>
          <t>CPC</t>
        </is>
      </c>
      <c r="B1279" s="8">
        <f>IFERROR(B1285/B1277,0)</f>
        <v/>
      </c>
    </row>
    <row r="1280">
      <c r="A1280" s="6" t="inlineStr">
        <is>
          <t>Конверсия в заявку</t>
        </is>
      </c>
      <c r="B1280" s="7">
        <f>IFERROR(B1281/B1277,0)</f>
        <v/>
      </c>
    </row>
    <row r="1281">
      <c r="A1281" s="4" t="inlineStr">
        <is>
          <t>Лид 1</t>
        </is>
      </c>
      <c r="B1281" s="5" t="n">
        <v>6</v>
      </c>
    </row>
    <row r="1282">
      <c r="A1282" s="6" t="inlineStr">
        <is>
          <t>Стоимость Лида 1</t>
        </is>
      </c>
      <c r="B1282" s="9">
        <f>IFERROR(B1285/B1281,0)</f>
        <v/>
      </c>
    </row>
    <row r="1283">
      <c r="A1283" s="4" t="inlineStr">
        <is>
          <t>Лиды 2</t>
        </is>
      </c>
      <c r="B1283" s="5" t="n">
        <v>6</v>
      </c>
    </row>
    <row r="1284">
      <c r="A1284" s="6" t="inlineStr">
        <is>
          <t>Стоимость Лида 2</t>
        </is>
      </c>
      <c r="B1284" s="9">
        <f>IFERROR(B1285/B1283,0)</f>
        <v/>
      </c>
    </row>
    <row r="1285">
      <c r="A1285" s="4" t="inlineStr">
        <is>
          <t>Рекламный бюджет</t>
        </is>
      </c>
      <c r="B1285" s="10" t="n">
        <v>18604.48200000001</v>
      </c>
    </row>
    <row r="1286">
      <c r="A1286" s="4" t="inlineStr">
        <is>
          <t>Лиды 3</t>
        </is>
      </c>
      <c r="B1286" s="5" t="n">
        <v>1</v>
      </c>
    </row>
    <row r="1287">
      <c r="A1287" s="6" t="inlineStr">
        <is>
          <t>Стоимость Лида 3</t>
        </is>
      </c>
      <c r="B1287" s="9">
        <f>IFERROR(B1285/B1286,0)</f>
        <v/>
      </c>
    </row>
    <row r="1288">
      <c r="A1288" s="4" t="inlineStr">
        <is>
          <t>ВП</t>
        </is>
      </c>
      <c r="B1288" s="10" t="n">
        <v>0</v>
      </c>
    </row>
    <row r="1289">
      <c r="A1289" s="4" t="inlineStr">
        <is>
          <t>Продажи</t>
        </is>
      </c>
      <c r="B1289" s="5" t="n">
        <v>0</v>
      </c>
    </row>
    <row r="1290">
      <c r="A1290" s="6" t="inlineStr">
        <is>
          <t>Средний чек</t>
        </is>
      </c>
      <c r="B1290" s="9">
        <f>IFERROR(B1288/B1289,0)</f>
        <v/>
      </c>
    </row>
    <row r="1292">
      <c r="A1292" s="15" t="inlineStr">
        <is>
          <t>[РСЯ] Ретаргетинг</t>
        </is>
      </c>
      <c r="B1292" s="16">
        <f>B$1</f>
        <v/>
      </c>
    </row>
    <row r="1293">
      <c r="A1293" s="4" t="inlineStr">
        <is>
          <t>Показы</t>
        </is>
      </c>
      <c r="B1293" s="5" t="n">
        <v>7777</v>
      </c>
    </row>
    <row r="1294">
      <c r="A1294" s="4" t="inlineStr">
        <is>
          <t>Визиты</t>
        </is>
      </c>
      <c r="B1294" s="5" t="n">
        <v>47</v>
      </c>
    </row>
    <row r="1295">
      <c r="A1295" s="6" t="inlineStr">
        <is>
          <t>CTR</t>
        </is>
      </c>
      <c r="B1295" s="7">
        <f>IFERROR(B1294/B1293,0)</f>
        <v/>
      </c>
    </row>
    <row r="1296">
      <c r="A1296" s="6" t="inlineStr">
        <is>
          <t>CPC</t>
        </is>
      </c>
      <c r="B1296" s="8">
        <f>IFERROR(B1302/B1294,0)</f>
        <v/>
      </c>
    </row>
    <row r="1297">
      <c r="A1297" s="6" t="inlineStr">
        <is>
          <t>Конверсия в заявку</t>
        </is>
      </c>
      <c r="B1297" s="7">
        <f>IFERROR(B1298/B1294,0)</f>
        <v/>
      </c>
    </row>
    <row r="1298">
      <c r="A1298" s="4" t="inlineStr">
        <is>
          <t>Лид 1</t>
        </is>
      </c>
      <c r="B1298" s="5" t="n">
        <v>0</v>
      </c>
    </row>
    <row r="1299">
      <c r="A1299" s="6" t="inlineStr">
        <is>
          <t>Стоимость Лида 1</t>
        </is>
      </c>
      <c r="B1299" s="9">
        <f>IFERROR(B1302/B1298,0)</f>
        <v/>
      </c>
    </row>
    <row r="1300">
      <c r="A1300" s="4" t="inlineStr">
        <is>
          <t>Лиды 2</t>
        </is>
      </c>
      <c r="B1300" s="5" t="n">
        <v>0</v>
      </c>
    </row>
    <row r="1301">
      <c r="A1301" s="6" t="inlineStr">
        <is>
          <t>Стоимость Лида 2</t>
        </is>
      </c>
      <c r="B1301" s="9">
        <f>IFERROR(B1302/B1300,0)</f>
        <v/>
      </c>
    </row>
    <row r="1302">
      <c r="A1302" s="4" t="inlineStr">
        <is>
          <t>Рекламный бюджет</t>
        </is>
      </c>
      <c r="B1302" s="10" t="n">
        <v>0</v>
      </c>
    </row>
    <row r="1303">
      <c r="A1303" s="4" t="inlineStr">
        <is>
          <t>Лиды 3</t>
        </is>
      </c>
      <c r="B1303" s="5" t="n">
        <v>0</v>
      </c>
    </row>
    <row r="1304">
      <c r="A1304" s="6" t="inlineStr">
        <is>
          <t>Стоимость Лида 3</t>
        </is>
      </c>
      <c r="B1304" s="9">
        <f>IFERROR(B1302/B1303,0)</f>
        <v/>
      </c>
    </row>
    <row r="1305">
      <c r="A1305" s="4" t="inlineStr">
        <is>
          <t>ВП</t>
        </is>
      </c>
      <c r="B1305" s="10" t="n">
        <v>0</v>
      </c>
    </row>
    <row r="1306">
      <c r="A1306" s="4" t="inlineStr">
        <is>
          <t>Продажи</t>
        </is>
      </c>
      <c r="B1306" s="5" t="n">
        <v>0</v>
      </c>
    </row>
    <row r="1307">
      <c r="A1307" s="6" t="inlineStr">
        <is>
          <t>Средний чек</t>
        </is>
      </c>
      <c r="B1307" s="9">
        <f>IFERROR(B1305/B1306,0)</f>
        <v/>
      </c>
    </row>
    <row r="1309">
      <c r="A1309" s="15" t="inlineStr">
        <is>
          <t>[Поиск] Компрессоры Remeza общие без слов винтовые</t>
        </is>
      </c>
      <c r="B1309" s="16">
        <f>B$1</f>
        <v/>
      </c>
    </row>
    <row r="1310">
      <c r="A1310" s="4" t="inlineStr">
        <is>
          <t>Показы</t>
        </is>
      </c>
      <c r="B1310" s="5" t="n">
        <v>0</v>
      </c>
    </row>
    <row r="1311">
      <c r="A1311" s="4" t="inlineStr">
        <is>
          <t>Визиты</t>
        </is>
      </c>
      <c r="B1311" s="5" t="n">
        <v>3</v>
      </c>
    </row>
    <row r="1312">
      <c r="A1312" s="6" t="inlineStr">
        <is>
          <t>CTR</t>
        </is>
      </c>
      <c r="B1312" s="7">
        <f>IFERROR(B1311/B1310,0)</f>
        <v/>
      </c>
    </row>
    <row r="1313">
      <c r="A1313" s="6" t="inlineStr">
        <is>
          <t>CPC</t>
        </is>
      </c>
      <c r="B1313" s="8">
        <f>IFERROR(B1319/B1311,0)</f>
        <v/>
      </c>
    </row>
    <row r="1314">
      <c r="A1314" s="6" t="inlineStr">
        <is>
          <t>Конверсия в заявку</t>
        </is>
      </c>
      <c r="B1314" s="7">
        <f>IFERROR(B1315/B1311,0)</f>
        <v/>
      </c>
    </row>
    <row r="1315">
      <c r="A1315" s="4" t="inlineStr">
        <is>
          <t>Лид 1</t>
        </is>
      </c>
      <c r="B1315" s="5" t="n">
        <v>0</v>
      </c>
    </row>
    <row r="1316">
      <c r="A1316" s="6" t="inlineStr">
        <is>
          <t>Стоимость Лида 1</t>
        </is>
      </c>
      <c r="B1316" s="9">
        <f>IFERROR(B1319/B1315,0)</f>
        <v/>
      </c>
    </row>
    <row r="1317">
      <c r="A1317" s="4" t="inlineStr">
        <is>
          <t>Лиды 2</t>
        </is>
      </c>
      <c r="B1317" s="5" t="n">
        <v>0</v>
      </c>
    </row>
    <row r="1318">
      <c r="A1318" s="6" t="inlineStr">
        <is>
          <t>Стоимость Лида 2</t>
        </is>
      </c>
      <c r="B1318" s="9">
        <f>IFERROR(B1319/B1317,0)</f>
        <v/>
      </c>
    </row>
    <row r="1319">
      <c r="A1319" s="4" t="inlineStr">
        <is>
          <t>Рекламный бюджет</t>
        </is>
      </c>
      <c r="B1319" s="10" t="n">
        <v>0</v>
      </c>
    </row>
    <row r="1320">
      <c r="A1320" s="4" t="inlineStr">
        <is>
          <t>Лиды 3</t>
        </is>
      </c>
      <c r="B1320" s="5" t="n">
        <v>0</v>
      </c>
    </row>
    <row r="1321">
      <c r="A1321" s="6" t="inlineStr">
        <is>
          <t>Стоимость Лида 3</t>
        </is>
      </c>
      <c r="B1321" s="9">
        <f>IFERROR(B1319/B1320,0)</f>
        <v/>
      </c>
    </row>
    <row r="1322">
      <c r="A1322" s="4" t="inlineStr">
        <is>
          <t>ВП</t>
        </is>
      </c>
      <c r="B1322" s="10" t="n">
        <v>0</v>
      </c>
    </row>
    <row r="1323">
      <c r="A1323" s="4" t="inlineStr">
        <is>
          <t>Продажи</t>
        </is>
      </c>
      <c r="B1323" s="5" t="n">
        <v>0</v>
      </c>
    </row>
    <row r="1324">
      <c r="A1324" s="6" t="inlineStr">
        <is>
          <t>Средний чек</t>
        </is>
      </c>
      <c r="B1324" s="9">
        <f>IFERROR(B1322/B1323,0)</f>
        <v/>
      </c>
    </row>
    <row r="1327">
      <c r="A1327" s="13" t="inlineStr">
        <is>
          <t>AC-KOMPRESSOR.RU</t>
        </is>
      </c>
      <c r="B1327" s="14" t="n"/>
    </row>
    <row r="1328">
      <c r="A1328" s="15" t="inlineStr">
        <is>
          <t>Общие</t>
        </is>
      </c>
      <c r="B1328" s="16">
        <f>B$1</f>
        <v/>
      </c>
    </row>
    <row r="1329">
      <c r="A1329" s="4" t="inlineStr">
        <is>
          <t>Показы</t>
        </is>
      </c>
      <c r="B1329" s="5">
        <f>B1349+B1366+B1383+B1400</f>
        <v/>
      </c>
    </row>
    <row r="1330">
      <c r="A1330" s="4" t="inlineStr">
        <is>
          <t>Визиты</t>
        </is>
      </c>
      <c r="B1330" s="5">
        <f>B1350+B1367+B1384+B1401</f>
        <v/>
      </c>
    </row>
    <row r="1331">
      <c r="A1331" s="6" t="inlineStr">
        <is>
          <t>CTR</t>
        </is>
      </c>
      <c r="B1331" s="7">
        <f>IFERROR(B1330/B1329,0)</f>
        <v/>
      </c>
    </row>
    <row r="1332">
      <c r="A1332" s="6" t="inlineStr">
        <is>
          <t>CPC</t>
        </is>
      </c>
      <c r="B1332" s="8">
        <f>IFERROR(B1338/B1330,0)</f>
        <v/>
      </c>
    </row>
    <row r="1333">
      <c r="A1333" s="6" t="inlineStr">
        <is>
          <t>Конверсия в заявку</t>
        </is>
      </c>
      <c r="B1333" s="7">
        <f>IFERROR(B1334/B1330,0)</f>
        <v/>
      </c>
    </row>
    <row r="1334">
      <c r="A1334" s="4" t="inlineStr">
        <is>
          <t>Лид 1</t>
        </is>
      </c>
      <c r="B1334" s="5">
        <f>B1354+B1371+B1388+B1405</f>
        <v/>
      </c>
    </row>
    <row r="1335">
      <c r="A1335" s="6" t="inlineStr">
        <is>
          <t>Стоимость Лида 1</t>
        </is>
      </c>
      <c r="B1335" s="9">
        <f>IFERROR(B1338/B1334,0)</f>
        <v/>
      </c>
    </row>
    <row r="1336">
      <c r="A1336" s="4" t="inlineStr">
        <is>
          <t>Лиды 2</t>
        </is>
      </c>
      <c r="B1336" s="5">
        <f>B1356+B1373+B1390+B1407</f>
        <v/>
      </c>
    </row>
    <row r="1337">
      <c r="A1337" s="6" t="inlineStr">
        <is>
          <t>Стоимость Лида 2</t>
        </is>
      </c>
      <c r="B1337" s="9">
        <f>IFERROR(B1338/B1336,0)</f>
        <v/>
      </c>
    </row>
    <row r="1338">
      <c r="A1338" s="4" t="inlineStr">
        <is>
          <t>Рекламный бюджет</t>
        </is>
      </c>
      <c r="B1338" s="10">
        <f>B1358+B1375+B1392+B1409</f>
        <v/>
      </c>
    </row>
    <row r="1339">
      <c r="A1339" s="4" t="inlineStr">
        <is>
          <t>Лиды 3</t>
        </is>
      </c>
      <c r="B1339" s="5">
        <f>B1359+B1376+B1393+B1410</f>
        <v/>
      </c>
    </row>
    <row r="1340">
      <c r="A1340" s="6" t="inlineStr">
        <is>
          <t>Стоимость Лида 3</t>
        </is>
      </c>
      <c r="B1340" s="9">
        <f>IFERROR(B1338/B1339,0)</f>
        <v/>
      </c>
    </row>
    <row r="1341">
      <c r="A1341" s="4" t="inlineStr">
        <is>
          <t>ВП</t>
        </is>
      </c>
      <c r="B1341" s="10">
        <f>B1361+B1378+B1395+B1412</f>
        <v/>
      </c>
    </row>
    <row r="1342">
      <c r="A1342" s="4" t="inlineStr">
        <is>
          <t>Продажи</t>
        </is>
      </c>
      <c r="B1342" s="5">
        <f>B1362+B1379+B1396+B1413</f>
        <v/>
      </c>
    </row>
    <row r="1343">
      <c r="A1343" s="6" t="inlineStr">
        <is>
          <t>Средний чек</t>
        </is>
      </c>
      <c r="B1343" s="9">
        <f>IFERROR(B1341/B1342,0)</f>
        <v/>
      </c>
    </row>
    <row r="1345">
      <c r="A1345" s="11" t="inlineStr">
        <is>
          <t>Вывод по сделкам за неделю</t>
        </is>
      </c>
    </row>
    <row r="1346" ht="45" customHeight="1">
      <c r="A1346" s="12" t="inlineStr">
        <is>
          <t>За неделю создано 2 сделки: 1 сделка на 37 кВт и 1 сделка на 110 кВт. В работе 2 сделки, успешно завершённых нет, проваленных нет. В сделках в работе: 1 винтовой компрессор на 110 кВт и 1 дизельный компрессор на 37 кВт. Ориентировочная сумма активных сделок — 2,9 млн руб (сумма заполнена у 1 из 2 сделок).</t>
        </is>
      </c>
    </row>
    <row r="1348">
      <c r="A1348" s="15" t="inlineStr">
        <is>
          <t>[Поиск и РСЯ] Товарка c-kompressor.ru от 11.08.26</t>
        </is>
      </c>
      <c r="B1348" s="16">
        <f>B$1</f>
        <v/>
      </c>
    </row>
    <row r="1349">
      <c r="A1349" s="4" t="inlineStr">
        <is>
          <t>Показы</t>
        </is>
      </c>
      <c r="B1349" s="5" t="n">
        <v>97152</v>
      </c>
    </row>
    <row r="1350">
      <c r="A1350" s="4" t="inlineStr">
        <is>
          <t>Визиты</t>
        </is>
      </c>
      <c r="B1350" s="5" t="n">
        <v>1807</v>
      </c>
    </row>
    <row r="1351">
      <c r="A1351" s="6" t="inlineStr">
        <is>
          <t>CTR</t>
        </is>
      </c>
      <c r="B1351" s="7">
        <f>IFERROR(B1350/B1349,0)</f>
        <v/>
      </c>
    </row>
    <row r="1352">
      <c r="A1352" s="6" t="inlineStr">
        <is>
          <t>CPC</t>
        </is>
      </c>
      <c r="B1352" s="8">
        <f>IFERROR(B1358/B1350,0)</f>
        <v/>
      </c>
    </row>
    <row r="1353">
      <c r="A1353" s="6" t="inlineStr">
        <is>
          <t>Конверсия в заявку</t>
        </is>
      </c>
      <c r="B1353" s="7">
        <f>IFERROR(B1354/B1350,0)</f>
        <v/>
      </c>
    </row>
    <row r="1354">
      <c r="A1354" s="4" t="inlineStr">
        <is>
          <t>Лид 1</t>
        </is>
      </c>
      <c r="B1354" s="5" t="n">
        <v>11</v>
      </c>
    </row>
    <row r="1355">
      <c r="A1355" s="6" t="inlineStr">
        <is>
          <t>Стоимость Лида 1</t>
        </is>
      </c>
      <c r="B1355" s="9">
        <f>IFERROR(B1358/B1354,0)</f>
        <v/>
      </c>
    </row>
    <row r="1356">
      <c r="A1356" s="4" t="inlineStr">
        <is>
          <t>Лиды 2</t>
        </is>
      </c>
      <c r="B1356" s="5" t="n">
        <v>8</v>
      </c>
    </row>
    <row r="1357">
      <c r="A1357" s="6" t="inlineStr">
        <is>
          <t>Стоимость Лида 2</t>
        </is>
      </c>
      <c r="B1357" s="9">
        <f>IFERROR(B1358/B1356,0)</f>
        <v/>
      </c>
    </row>
    <row r="1358">
      <c r="A1358" s="4" t="inlineStr">
        <is>
          <t>Рекламный бюджет</t>
        </is>
      </c>
      <c r="B1358" s="10" t="n">
        <v>35093.80199999995</v>
      </c>
    </row>
    <row r="1359">
      <c r="A1359" s="4" t="inlineStr">
        <is>
          <t>Лиды 3</t>
        </is>
      </c>
      <c r="B1359" s="5" t="n">
        <v>1</v>
      </c>
    </row>
    <row r="1360">
      <c r="A1360" s="6" t="inlineStr">
        <is>
          <t>Стоимость Лида 3</t>
        </is>
      </c>
      <c r="B1360" s="9">
        <f>IFERROR(B1358/B1359,0)</f>
        <v/>
      </c>
    </row>
    <row r="1361">
      <c r="A1361" s="4" t="inlineStr">
        <is>
          <t>ВП</t>
        </is>
      </c>
      <c r="B1361" s="10" t="n">
        <v>0</v>
      </c>
    </row>
    <row r="1362">
      <c r="A1362" s="4" t="inlineStr">
        <is>
          <t>Продажи</t>
        </is>
      </c>
      <c r="B1362" s="5" t="n">
        <v>0</v>
      </c>
    </row>
    <row r="1363">
      <c r="A1363" s="6" t="inlineStr">
        <is>
          <t>Средний чек</t>
        </is>
      </c>
      <c r="B1363" s="9">
        <f>IFERROR(B1361/B1362,0)</f>
        <v/>
      </c>
    </row>
    <row r="1365">
      <c r="A1365" s="15" t="inlineStr">
        <is>
          <t>[Поиск] Бренд и модели</t>
        </is>
      </c>
      <c r="B1365" s="16">
        <f>B$1</f>
        <v/>
      </c>
    </row>
    <row r="1366">
      <c r="A1366" s="4" t="inlineStr">
        <is>
          <t>Показы</t>
        </is>
      </c>
      <c r="B1366" s="5" t="n">
        <v>504</v>
      </c>
    </row>
    <row r="1367">
      <c r="A1367" s="4" t="inlineStr">
        <is>
          <t>Визиты</t>
        </is>
      </c>
      <c r="B1367" s="5" t="n">
        <v>38</v>
      </c>
    </row>
    <row r="1368">
      <c r="A1368" s="6" t="inlineStr">
        <is>
          <t>CTR</t>
        </is>
      </c>
      <c r="B1368" s="7">
        <f>IFERROR(B1367/B1366,0)</f>
        <v/>
      </c>
    </row>
    <row r="1369">
      <c r="A1369" s="6" t="inlineStr">
        <is>
          <t>CPC</t>
        </is>
      </c>
      <c r="B1369" s="8">
        <f>IFERROR(B1375/B1367,0)</f>
        <v/>
      </c>
    </row>
    <row r="1370">
      <c r="A1370" s="6" t="inlineStr">
        <is>
          <t>Конверсия в заявку</t>
        </is>
      </c>
      <c r="B1370" s="7">
        <f>IFERROR(B1371/B1367,0)</f>
        <v/>
      </c>
    </row>
    <row r="1371">
      <c r="A1371" s="4" t="inlineStr">
        <is>
          <t>Лид 1</t>
        </is>
      </c>
      <c r="B1371" s="5" t="n">
        <v>1</v>
      </c>
    </row>
    <row r="1372">
      <c r="A1372" s="6" t="inlineStr">
        <is>
          <t>Стоимость Лида 1</t>
        </is>
      </c>
      <c r="B1372" s="9">
        <f>IFERROR(B1375/B1371,0)</f>
        <v/>
      </c>
    </row>
    <row r="1373">
      <c r="A1373" s="4" t="inlineStr">
        <is>
          <t>Лиды 2</t>
        </is>
      </c>
      <c r="B1373" s="5" t="n">
        <v>1</v>
      </c>
    </row>
    <row r="1374">
      <c r="A1374" s="6" t="inlineStr">
        <is>
          <t>Стоимость Лида 2</t>
        </is>
      </c>
      <c r="B1374" s="9">
        <f>IFERROR(B1375/B1373,0)</f>
        <v/>
      </c>
    </row>
    <row r="1375">
      <c r="A1375" s="4" t="inlineStr">
        <is>
          <t>Рекламный бюджет</t>
        </is>
      </c>
      <c r="B1375" s="10" t="n">
        <v>6000</v>
      </c>
    </row>
    <row r="1376">
      <c r="A1376" s="4" t="inlineStr">
        <is>
          <t>Лиды 3</t>
        </is>
      </c>
      <c r="B1376" s="5" t="n">
        <v>1</v>
      </c>
    </row>
    <row r="1377">
      <c r="A1377" s="6" t="inlineStr">
        <is>
          <t>Стоимость Лида 3</t>
        </is>
      </c>
      <c r="B1377" s="9">
        <f>IFERROR(B1375/B1376,0)</f>
        <v/>
      </c>
    </row>
    <row r="1378">
      <c r="A1378" s="4" t="inlineStr">
        <is>
          <t>ВП</t>
        </is>
      </c>
      <c r="B1378" s="10" t="n">
        <v>0</v>
      </c>
    </row>
    <row r="1379">
      <c r="A1379" s="4" t="inlineStr">
        <is>
          <t>Продажи</t>
        </is>
      </c>
      <c r="B1379" s="5" t="n">
        <v>0</v>
      </c>
    </row>
    <row r="1380">
      <c r="A1380" s="6" t="inlineStr">
        <is>
          <t>Средний чек</t>
        </is>
      </c>
      <c r="B1380" s="9">
        <f>IFERROR(B1378/B1379,0)</f>
        <v/>
      </c>
    </row>
    <row r="1382">
      <c r="A1382" s="15" t="inlineStr">
        <is>
          <t>[Поиск и РСЯ] Товарная кампания ac-kompressor.ru от 03.03.26</t>
        </is>
      </c>
      <c r="B1382" s="16">
        <f>B$1</f>
        <v/>
      </c>
    </row>
    <row r="1383">
      <c r="A1383" s="4" t="inlineStr">
        <is>
          <t>Показы</t>
        </is>
      </c>
      <c r="B1383" s="5" t="n">
        <v>0</v>
      </c>
    </row>
    <row r="1384">
      <c r="A1384" s="4" t="inlineStr">
        <is>
          <t>Визиты</t>
        </is>
      </c>
      <c r="B1384" s="5" t="n">
        <v>7</v>
      </c>
    </row>
    <row r="1385">
      <c r="A1385" s="6" t="inlineStr">
        <is>
          <t>CTR</t>
        </is>
      </c>
      <c r="B1385" s="7">
        <f>IFERROR(B1384/B1383,0)</f>
        <v/>
      </c>
    </row>
    <row r="1386">
      <c r="A1386" s="6" t="inlineStr">
        <is>
          <t>CPC</t>
        </is>
      </c>
      <c r="B1386" s="8">
        <f>IFERROR(B1392/B1384,0)</f>
        <v/>
      </c>
    </row>
    <row r="1387">
      <c r="A1387" s="6" t="inlineStr">
        <is>
          <t>Конверсия в заявку</t>
        </is>
      </c>
      <c r="B1387" s="7">
        <f>IFERROR(B1388/B1384,0)</f>
        <v/>
      </c>
    </row>
    <row r="1388">
      <c r="A1388" s="4" t="inlineStr">
        <is>
          <t>Лид 1</t>
        </is>
      </c>
      <c r="B1388" s="5" t="n">
        <v>0</v>
      </c>
    </row>
    <row r="1389">
      <c r="A1389" s="6" t="inlineStr">
        <is>
          <t>Стоимость Лида 1</t>
        </is>
      </c>
      <c r="B1389" s="9">
        <f>IFERROR(B1392/B1388,0)</f>
        <v/>
      </c>
    </row>
    <row r="1390">
      <c r="A1390" s="4" t="inlineStr">
        <is>
          <t>Лиды 2</t>
        </is>
      </c>
      <c r="B1390" s="5" t="n">
        <v>0</v>
      </c>
    </row>
    <row r="1391">
      <c r="A1391" s="6" t="inlineStr">
        <is>
          <t>Стоимость Лида 2</t>
        </is>
      </c>
      <c r="B1391" s="9">
        <f>IFERROR(B1392/B1390,0)</f>
        <v/>
      </c>
    </row>
    <row r="1392">
      <c r="A1392" s="4" t="inlineStr">
        <is>
          <t>Рекламный бюджет</t>
        </is>
      </c>
      <c r="B1392" s="10" t="n">
        <v>0</v>
      </c>
    </row>
    <row r="1393">
      <c r="A1393" s="4" t="inlineStr">
        <is>
          <t>Лиды 3</t>
        </is>
      </c>
      <c r="B1393" s="5" t="n">
        <v>0</v>
      </c>
    </row>
    <row r="1394">
      <c r="A1394" s="6" t="inlineStr">
        <is>
          <t>Стоимость Лида 3</t>
        </is>
      </c>
      <c r="B1394" s="9">
        <f>IFERROR(B1392/B1393,0)</f>
        <v/>
      </c>
    </row>
    <row r="1395">
      <c r="A1395" s="4" t="inlineStr">
        <is>
          <t>ВП</t>
        </is>
      </c>
      <c r="B1395" s="10" t="n">
        <v>0</v>
      </c>
    </row>
    <row r="1396">
      <c r="A1396" s="4" t="inlineStr">
        <is>
          <t>Продажи</t>
        </is>
      </c>
      <c r="B1396" s="5" t="n">
        <v>0</v>
      </c>
    </row>
    <row r="1397">
      <c r="A1397" s="6" t="inlineStr">
        <is>
          <t>Средний чек</t>
        </is>
      </c>
      <c r="B1397" s="9">
        <f>IFERROR(B1395/B1396,0)</f>
        <v/>
      </c>
    </row>
    <row r="1399">
      <c r="A1399" s="15" t="inlineStr">
        <is>
          <t>Не привязано к кампании</t>
        </is>
      </c>
      <c r="B1399" s="16">
        <f>B$1</f>
        <v/>
      </c>
    </row>
    <row r="1400">
      <c r="A1400" s="4" t="inlineStr">
        <is>
          <t>Показы</t>
        </is>
      </c>
      <c r="B1400" s="5" t="n">
        <v>0</v>
      </c>
    </row>
    <row r="1401">
      <c r="A1401" s="4" t="inlineStr">
        <is>
          <t>Визиты</t>
        </is>
      </c>
      <c r="B1401" s="5" t="n">
        <v>1</v>
      </c>
    </row>
    <row r="1402">
      <c r="A1402" s="6" t="inlineStr">
        <is>
          <t>CTR</t>
        </is>
      </c>
      <c r="B1402" s="7">
        <f>IFERROR(B1401/B1400,0)</f>
        <v/>
      </c>
    </row>
    <row r="1403">
      <c r="A1403" s="6" t="inlineStr">
        <is>
          <t>CPC</t>
        </is>
      </c>
      <c r="B1403" s="8">
        <f>IFERROR(B1409/B1401,0)</f>
        <v/>
      </c>
    </row>
    <row r="1404">
      <c r="A1404" s="6" t="inlineStr">
        <is>
          <t>Конверсия в заявку</t>
        </is>
      </c>
      <c r="B1404" s="7">
        <f>IFERROR(B1405/B1401,0)</f>
        <v/>
      </c>
    </row>
    <row r="1405">
      <c r="A1405" s="4" t="inlineStr">
        <is>
          <t>Лид 1</t>
        </is>
      </c>
      <c r="B1405" s="5" t="n">
        <v>0</v>
      </c>
    </row>
    <row r="1406">
      <c r="A1406" s="6" t="inlineStr">
        <is>
          <t>Стоимость Лида 1</t>
        </is>
      </c>
      <c r="B1406" s="9">
        <f>IFERROR(B1409/B1405,0)</f>
        <v/>
      </c>
    </row>
    <row r="1407">
      <c r="A1407" s="4" t="inlineStr">
        <is>
          <t>Лиды 2</t>
        </is>
      </c>
      <c r="B1407" s="5" t="n">
        <v>0</v>
      </c>
    </row>
    <row r="1408">
      <c r="A1408" s="6" t="inlineStr">
        <is>
          <t>Стоимость Лида 2</t>
        </is>
      </c>
      <c r="B1408" s="9">
        <f>IFERROR(B1409/B1407,0)</f>
        <v/>
      </c>
    </row>
    <row r="1409">
      <c r="A1409" s="4" t="inlineStr">
        <is>
          <t>Рекламный бюджет</t>
        </is>
      </c>
      <c r="B1409" s="10" t="n">
        <v>0</v>
      </c>
    </row>
    <row r="1410">
      <c r="A1410" s="4" t="inlineStr">
        <is>
          <t>Лиды 3</t>
        </is>
      </c>
      <c r="B1410" s="5" t="n">
        <v>0</v>
      </c>
    </row>
    <row r="1411">
      <c r="A1411" s="6" t="inlineStr">
        <is>
          <t>Стоимость Лида 3</t>
        </is>
      </c>
      <c r="B1411" s="9">
        <f>IFERROR(B1409/B1410,0)</f>
        <v/>
      </c>
    </row>
    <row r="1412">
      <c r="A1412" s="4" t="inlineStr">
        <is>
          <t>ВП</t>
        </is>
      </c>
      <c r="B1412" s="10" t="n">
        <v>0</v>
      </c>
    </row>
    <row r="1413">
      <c r="A1413" s="4" t="inlineStr">
        <is>
          <t>Продажи</t>
        </is>
      </c>
      <c r="B1413" s="5" t="n">
        <v>0</v>
      </c>
    </row>
    <row r="1414">
      <c r="A1414" s="6" t="inlineStr">
        <is>
          <t>Средний чек</t>
        </is>
      </c>
      <c r="B1414" s="9">
        <f>IFERROR(B1412/B1413,0)</f>
        <v/>
      </c>
    </row>
    <row r="1417">
      <c r="A1417" s="13" t="inlineStr">
        <is>
          <t>DALI-KOMPRESSOR.RU</t>
        </is>
      </c>
      <c r="B1417" s="14" t="n"/>
    </row>
    <row r="1418">
      <c r="A1418" s="15" t="inlineStr">
        <is>
          <t>Общие</t>
        </is>
      </c>
      <c r="B1418" s="16">
        <f>B$1</f>
        <v/>
      </c>
    </row>
    <row r="1419">
      <c r="A1419" s="4" t="inlineStr">
        <is>
          <t>Показы</t>
        </is>
      </c>
      <c r="B1419" s="5">
        <f>B1439+B1456+B1473</f>
        <v/>
      </c>
    </row>
    <row r="1420">
      <c r="A1420" s="4" t="inlineStr">
        <is>
          <t>Визиты</t>
        </is>
      </c>
      <c r="B1420" s="5">
        <f>B1440+B1457+B1474</f>
        <v/>
      </c>
    </row>
    <row r="1421">
      <c r="A1421" s="6" t="inlineStr">
        <is>
          <t>CTR</t>
        </is>
      </c>
      <c r="B1421" s="7">
        <f>IFERROR(B1420/B1419,0)</f>
        <v/>
      </c>
    </row>
    <row r="1422">
      <c r="A1422" s="6" t="inlineStr">
        <is>
          <t>CPC</t>
        </is>
      </c>
      <c r="B1422" s="8">
        <f>IFERROR(B1428/B1420,0)</f>
        <v/>
      </c>
    </row>
    <row r="1423">
      <c r="A1423" s="6" t="inlineStr">
        <is>
          <t>Конверсия в заявку</t>
        </is>
      </c>
      <c r="B1423" s="7">
        <f>IFERROR(B1424/B1420,0)</f>
        <v/>
      </c>
    </row>
    <row r="1424">
      <c r="A1424" s="4" t="inlineStr">
        <is>
          <t>Лид 1</t>
        </is>
      </c>
      <c r="B1424" s="5">
        <f>B1444+B1461+B1478</f>
        <v/>
      </c>
    </row>
    <row r="1425">
      <c r="A1425" s="6" t="inlineStr">
        <is>
          <t>Стоимость Лида 1</t>
        </is>
      </c>
      <c r="B1425" s="9">
        <f>IFERROR(B1428/B1424,0)</f>
        <v/>
      </c>
    </row>
    <row r="1426">
      <c r="A1426" s="4" t="inlineStr">
        <is>
          <t>Лиды 2</t>
        </is>
      </c>
      <c r="B1426" s="5">
        <f>B1446+B1463+B1480</f>
        <v/>
      </c>
    </row>
    <row r="1427">
      <c r="A1427" s="6" t="inlineStr">
        <is>
          <t>Стоимость Лида 2</t>
        </is>
      </c>
      <c r="B1427" s="9">
        <f>IFERROR(B1428/B1426,0)</f>
        <v/>
      </c>
    </row>
    <row r="1428">
      <c r="A1428" s="4" t="inlineStr">
        <is>
          <t>Рекламный бюджет</t>
        </is>
      </c>
      <c r="B1428" s="10">
        <f>B1448+B1465+B1482</f>
        <v/>
      </c>
    </row>
    <row r="1429">
      <c r="A1429" s="4" t="inlineStr">
        <is>
          <t>Лиды 3</t>
        </is>
      </c>
      <c r="B1429" s="5">
        <f>B1449+B1466+B1483</f>
        <v/>
      </c>
    </row>
    <row r="1430">
      <c r="A1430" s="6" t="inlineStr">
        <is>
          <t>Стоимость Лида 3</t>
        </is>
      </c>
      <c r="B1430" s="9">
        <f>IFERROR(B1428/B1429,0)</f>
        <v/>
      </c>
    </row>
    <row r="1431">
      <c r="A1431" s="4" t="inlineStr">
        <is>
          <t>ВП</t>
        </is>
      </c>
      <c r="B1431" s="10">
        <f>B1451+B1468+B1485</f>
        <v/>
      </c>
    </row>
    <row r="1432">
      <c r="A1432" s="4" t="inlineStr">
        <is>
          <t>Продажи</t>
        </is>
      </c>
      <c r="B1432" s="5">
        <f>B1452+B1469+B1486</f>
        <v/>
      </c>
    </row>
    <row r="1433">
      <c r="A1433" s="6" t="inlineStr">
        <is>
          <t>Средний чек</t>
        </is>
      </c>
      <c r="B1433" s="9">
        <f>IFERROR(B1431/B1432,0)</f>
        <v/>
      </c>
    </row>
    <row r="1435">
      <c r="A1435" s="11" t="inlineStr">
        <is>
          <t>Вывод по сделкам за неделю</t>
        </is>
      </c>
    </row>
    <row r="1436" ht="30" customHeight="1">
      <c r="A1436" s="12" t="inlineStr">
        <is>
          <t>Сделок за неделю не создано.</t>
        </is>
      </c>
    </row>
    <row r="1438">
      <c r="A1438" s="15" t="inlineStr">
        <is>
          <t>[Поиск и РСЯ] Товарка DALI от 22.06.26</t>
        </is>
      </c>
      <c r="B1438" s="16">
        <f>B$1</f>
        <v/>
      </c>
    </row>
    <row r="1439">
      <c r="A1439" s="4" t="inlineStr">
        <is>
          <t>Показы</t>
        </is>
      </c>
      <c r="B1439" s="5" t="n">
        <v>141092</v>
      </c>
    </row>
    <row r="1440">
      <c r="A1440" s="4" t="inlineStr">
        <is>
          <t>Визиты</t>
        </is>
      </c>
      <c r="B1440" s="5" t="n">
        <v>3031</v>
      </c>
    </row>
    <row r="1441">
      <c r="A1441" s="6" t="inlineStr">
        <is>
          <t>CTR</t>
        </is>
      </c>
      <c r="B1441" s="7">
        <f>IFERROR(B1440/B1439,0)</f>
        <v/>
      </c>
    </row>
    <row r="1442">
      <c r="A1442" s="6" t="inlineStr">
        <is>
          <t>CPC</t>
        </is>
      </c>
      <c r="B1442" s="8">
        <f>IFERROR(B1448/B1440,0)</f>
        <v/>
      </c>
    </row>
    <row r="1443">
      <c r="A1443" s="6" t="inlineStr">
        <is>
          <t>Конверсия в заявку</t>
        </is>
      </c>
      <c r="B1443" s="7">
        <f>IFERROR(B1444/B1440,0)</f>
        <v/>
      </c>
    </row>
    <row r="1444">
      <c r="A1444" s="4" t="inlineStr">
        <is>
          <t>Лид 1</t>
        </is>
      </c>
      <c r="B1444" s="5" t="n">
        <v>2</v>
      </c>
    </row>
    <row r="1445">
      <c r="A1445" s="6" t="inlineStr">
        <is>
          <t>Стоимость Лида 1</t>
        </is>
      </c>
      <c r="B1445" s="9">
        <f>IFERROR(B1448/B1444,0)</f>
        <v/>
      </c>
    </row>
    <row r="1446">
      <c r="A1446" s="4" t="inlineStr">
        <is>
          <t>Лиды 2</t>
        </is>
      </c>
      <c r="B1446" s="5" t="n">
        <v>1</v>
      </c>
    </row>
    <row r="1447">
      <c r="A1447" s="6" t="inlineStr">
        <is>
          <t>Стоимость Лида 2</t>
        </is>
      </c>
      <c r="B1447" s="9">
        <f>IFERROR(B1448/B1446,0)</f>
        <v/>
      </c>
    </row>
    <row r="1448">
      <c r="A1448" s="4" t="inlineStr">
        <is>
          <t>Рекламный бюджет</t>
        </is>
      </c>
      <c r="B1448" s="10" t="n">
        <v>20371.56719999992</v>
      </c>
    </row>
    <row r="1449">
      <c r="A1449" s="4" t="inlineStr">
        <is>
          <t>Лиды 3</t>
        </is>
      </c>
      <c r="B1449" s="5" t="n">
        <v>0</v>
      </c>
    </row>
    <row r="1450">
      <c r="A1450" s="6" t="inlineStr">
        <is>
          <t>Стоимость Лида 3</t>
        </is>
      </c>
      <c r="B1450" s="9">
        <f>IFERROR(B1448/B1449,0)</f>
        <v/>
      </c>
    </row>
    <row r="1451">
      <c r="A1451" s="4" t="inlineStr">
        <is>
          <t>ВП</t>
        </is>
      </c>
      <c r="B1451" s="10" t="n">
        <v>0</v>
      </c>
    </row>
    <row r="1452">
      <c r="A1452" s="4" t="inlineStr">
        <is>
          <t>Продажи</t>
        </is>
      </c>
      <c r="B1452" s="5" t="n">
        <v>0</v>
      </c>
    </row>
    <row r="1453">
      <c r="A1453" s="6" t="inlineStr">
        <is>
          <t>Средний чек</t>
        </is>
      </c>
      <c r="B1453" s="9">
        <f>IFERROR(B1451/B1452,0)</f>
        <v/>
      </c>
    </row>
    <row r="1455">
      <c r="A1455" s="15" t="inlineStr">
        <is>
          <t>[Поиск] DALI</t>
        </is>
      </c>
      <c r="B1455" s="16">
        <f>B$1</f>
        <v/>
      </c>
    </row>
    <row r="1456">
      <c r="A1456" s="4" t="inlineStr">
        <is>
          <t>Показы</t>
        </is>
      </c>
      <c r="B1456" s="5" t="n">
        <v>293</v>
      </c>
    </row>
    <row r="1457">
      <c r="A1457" s="4" t="inlineStr">
        <is>
          <t>Визиты</t>
        </is>
      </c>
      <c r="B1457" s="5" t="n">
        <v>23</v>
      </c>
    </row>
    <row r="1458">
      <c r="A1458" s="6" t="inlineStr">
        <is>
          <t>CTR</t>
        </is>
      </c>
      <c r="B1458" s="7">
        <f>IFERROR(B1457/B1456,0)</f>
        <v/>
      </c>
    </row>
    <row r="1459">
      <c r="A1459" s="6" t="inlineStr">
        <is>
          <t>CPC</t>
        </is>
      </c>
      <c r="B1459" s="8">
        <f>IFERROR(B1465/B1457,0)</f>
        <v/>
      </c>
    </row>
    <row r="1460">
      <c r="A1460" s="6" t="inlineStr">
        <is>
          <t>Конверсия в заявку</t>
        </is>
      </c>
      <c r="B1460" s="7">
        <f>IFERROR(B1461/B1457,0)</f>
        <v/>
      </c>
    </row>
    <row r="1461">
      <c r="A1461" s="4" t="inlineStr">
        <is>
          <t>Лид 1</t>
        </is>
      </c>
      <c r="B1461" s="5" t="n">
        <v>0</v>
      </c>
    </row>
    <row r="1462">
      <c r="A1462" s="6" t="inlineStr">
        <is>
          <t>Стоимость Лида 1</t>
        </is>
      </c>
      <c r="B1462" s="9">
        <f>IFERROR(B1465/B1461,0)</f>
        <v/>
      </c>
    </row>
    <row r="1463">
      <c r="A1463" s="4" t="inlineStr">
        <is>
          <t>Лиды 2</t>
        </is>
      </c>
      <c r="B1463" s="5" t="n">
        <v>0</v>
      </c>
    </row>
    <row r="1464">
      <c r="A1464" s="6" t="inlineStr">
        <is>
          <t>Стоимость Лида 2</t>
        </is>
      </c>
      <c r="B1464" s="9">
        <f>IFERROR(B1465/B1463,0)</f>
        <v/>
      </c>
    </row>
    <row r="1465">
      <c r="A1465" s="4" t="inlineStr">
        <is>
          <t>Рекламный бюджет</t>
        </is>
      </c>
      <c r="B1465" s="10" t="n">
        <v>15557.568</v>
      </c>
    </row>
    <row r="1466">
      <c r="A1466" s="4" t="inlineStr">
        <is>
          <t>Лиды 3</t>
        </is>
      </c>
      <c r="B1466" s="5" t="n">
        <v>0</v>
      </c>
    </row>
    <row r="1467">
      <c r="A1467" s="6" t="inlineStr">
        <is>
          <t>Стоимость Лида 3</t>
        </is>
      </c>
      <c r="B1467" s="9">
        <f>IFERROR(B1465/B1466,0)</f>
        <v/>
      </c>
    </row>
    <row r="1468">
      <c r="A1468" s="4" t="inlineStr">
        <is>
          <t>ВП</t>
        </is>
      </c>
      <c r="B1468" s="10" t="n">
        <v>0</v>
      </c>
    </row>
    <row r="1469">
      <c r="A1469" s="4" t="inlineStr">
        <is>
          <t>Продажи</t>
        </is>
      </c>
      <c r="B1469" s="5" t="n">
        <v>0</v>
      </c>
    </row>
    <row r="1470">
      <c r="A1470" s="6" t="inlineStr">
        <is>
          <t>Средний чек</t>
        </is>
      </c>
      <c r="B1470" s="9">
        <f>IFERROR(B1468/B1469,0)</f>
        <v/>
      </c>
    </row>
    <row r="1472">
      <c r="A1472" s="15" t="inlineStr">
        <is>
          <t>[РСЯ] Товарка dali-kompressor.ru от 06.02.26</t>
        </is>
      </c>
      <c r="B1472" s="16">
        <f>B$1</f>
        <v/>
      </c>
    </row>
    <row r="1473">
      <c r="A1473" s="4" t="inlineStr">
        <is>
          <t>Показы</t>
        </is>
      </c>
      <c r="B1473" s="5" t="n">
        <v>0</v>
      </c>
    </row>
    <row r="1474">
      <c r="A1474" s="4" t="inlineStr">
        <is>
          <t>Визиты</t>
        </is>
      </c>
      <c r="B1474" s="5" t="n">
        <v>1</v>
      </c>
    </row>
    <row r="1475">
      <c r="A1475" s="6" t="inlineStr">
        <is>
          <t>CTR</t>
        </is>
      </c>
      <c r="B1475" s="7">
        <f>IFERROR(B1474/B1473,0)</f>
        <v/>
      </c>
    </row>
    <row r="1476">
      <c r="A1476" s="6" t="inlineStr">
        <is>
          <t>CPC</t>
        </is>
      </c>
      <c r="B1476" s="8">
        <f>IFERROR(B1482/B1474,0)</f>
        <v/>
      </c>
    </row>
    <row r="1477">
      <c r="A1477" s="6" t="inlineStr">
        <is>
          <t>Конверсия в заявку</t>
        </is>
      </c>
      <c r="B1477" s="7">
        <f>IFERROR(B1478/B1474,0)</f>
        <v/>
      </c>
    </row>
    <row r="1478">
      <c r="A1478" s="4" t="inlineStr">
        <is>
          <t>Лид 1</t>
        </is>
      </c>
      <c r="B1478" s="5" t="n">
        <v>0</v>
      </c>
    </row>
    <row r="1479">
      <c r="A1479" s="6" t="inlineStr">
        <is>
          <t>Стоимость Лида 1</t>
        </is>
      </c>
      <c r="B1479" s="9">
        <f>IFERROR(B1482/B1478,0)</f>
        <v/>
      </c>
    </row>
    <row r="1480">
      <c r="A1480" s="4" t="inlineStr">
        <is>
          <t>Лиды 2</t>
        </is>
      </c>
      <c r="B1480" s="5" t="n">
        <v>0</v>
      </c>
    </row>
    <row r="1481">
      <c r="A1481" s="6" t="inlineStr">
        <is>
          <t>Стоимость Лида 2</t>
        </is>
      </c>
      <c r="B1481" s="9">
        <f>IFERROR(B1482/B1480,0)</f>
        <v/>
      </c>
    </row>
    <row r="1482">
      <c r="A1482" s="4" t="inlineStr">
        <is>
          <t>Рекламный бюджет</t>
        </is>
      </c>
      <c r="B1482" s="10" t="n">
        <v>0</v>
      </c>
    </row>
    <row r="1483">
      <c r="A1483" s="4" t="inlineStr">
        <is>
          <t>Лиды 3</t>
        </is>
      </c>
      <c r="B1483" s="5" t="n">
        <v>0</v>
      </c>
    </row>
    <row r="1484">
      <c r="A1484" s="6" t="inlineStr">
        <is>
          <t>Стоимость Лида 3</t>
        </is>
      </c>
      <c r="B1484" s="9">
        <f>IFERROR(B1482/B1483,0)</f>
        <v/>
      </c>
    </row>
    <row r="1485">
      <c r="A1485" s="4" t="inlineStr">
        <is>
          <t>ВП</t>
        </is>
      </c>
      <c r="B1485" s="10" t="n">
        <v>0</v>
      </c>
    </row>
    <row r="1486">
      <c r="A1486" s="4" t="inlineStr">
        <is>
          <t>Продажи</t>
        </is>
      </c>
      <c r="B1486" s="5" t="n">
        <v>0</v>
      </c>
    </row>
    <row r="1487">
      <c r="A1487" s="6" t="inlineStr">
        <is>
          <t>Средний чек</t>
        </is>
      </c>
      <c r="B1487" s="9">
        <f>IFERROR(B1485/B1486,0)</f>
        <v/>
      </c>
    </row>
    <row r="1490">
      <c r="A1490" s="13" t="inlineStr">
        <is>
          <t>CMPRG.RU</t>
        </is>
      </c>
      <c r="B1490" s="14" t="n"/>
    </row>
    <row r="1491">
      <c r="A1491" s="15" t="inlineStr">
        <is>
          <t>Общие</t>
        </is>
      </c>
      <c r="B1491" s="16">
        <f>B$1</f>
        <v/>
      </c>
    </row>
    <row r="1492">
      <c r="A1492" s="4" t="inlineStr">
        <is>
          <t>Показы</t>
        </is>
      </c>
      <c r="B1492" s="5">
        <f>B1512+B1529+B1546</f>
        <v/>
      </c>
    </row>
    <row r="1493">
      <c r="A1493" s="4" t="inlineStr">
        <is>
          <t>Визиты</t>
        </is>
      </c>
      <c r="B1493" s="5">
        <f>B1513+B1530+B1547</f>
        <v/>
      </c>
    </row>
    <row r="1494">
      <c r="A1494" s="6" t="inlineStr">
        <is>
          <t>CTR</t>
        </is>
      </c>
      <c r="B1494" s="7">
        <f>IFERROR(B1493/B1492,0)</f>
        <v/>
      </c>
    </row>
    <row r="1495">
      <c r="A1495" s="6" t="inlineStr">
        <is>
          <t>CPC</t>
        </is>
      </c>
      <c r="B1495" s="8">
        <f>IFERROR(B1501/B1493,0)</f>
        <v/>
      </c>
    </row>
    <row r="1496">
      <c r="A1496" s="6" t="inlineStr">
        <is>
          <t>Конверсия в заявку</t>
        </is>
      </c>
      <c r="B1496" s="7">
        <f>IFERROR(B1497/B1493,0)</f>
        <v/>
      </c>
    </row>
    <row r="1497">
      <c r="A1497" s="4" t="inlineStr">
        <is>
          <t>Лид 1</t>
        </is>
      </c>
      <c r="B1497" s="5">
        <f>B1517+B1534+B1551</f>
        <v/>
      </c>
    </row>
    <row r="1498">
      <c r="A1498" s="6" t="inlineStr">
        <is>
          <t>Стоимость Лида 1</t>
        </is>
      </c>
      <c r="B1498" s="9">
        <f>IFERROR(B1501/B1497,0)</f>
        <v/>
      </c>
    </row>
    <row r="1499">
      <c r="A1499" s="4" t="inlineStr">
        <is>
          <t>Лиды 2</t>
        </is>
      </c>
      <c r="B1499" s="5">
        <f>B1519+B1536+B1553</f>
        <v/>
      </c>
    </row>
    <row r="1500">
      <c r="A1500" s="6" t="inlineStr">
        <is>
          <t>Стоимость Лида 2</t>
        </is>
      </c>
      <c r="B1500" s="9">
        <f>IFERROR(B1501/B1499,0)</f>
        <v/>
      </c>
    </row>
    <row r="1501">
      <c r="A1501" s="4" t="inlineStr">
        <is>
          <t>Рекламный бюджет</t>
        </is>
      </c>
      <c r="B1501" s="10">
        <f>B1521+B1538+B1555</f>
        <v/>
      </c>
    </row>
    <row r="1502">
      <c r="A1502" s="4" t="inlineStr">
        <is>
          <t>Лиды 3</t>
        </is>
      </c>
      <c r="B1502" s="5">
        <f>B1522+B1539+B1556</f>
        <v/>
      </c>
    </row>
    <row r="1503">
      <c r="A1503" s="6" t="inlineStr">
        <is>
          <t>Стоимость Лида 3</t>
        </is>
      </c>
      <c r="B1503" s="9">
        <f>IFERROR(B1501/B1502,0)</f>
        <v/>
      </c>
    </row>
    <row r="1504">
      <c r="A1504" s="4" t="inlineStr">
        <is>
          <t>ВП</t>
        </is>
      </c>
      <c r="B1504" s="10">
        <f>B1524+B1541+B1558</f>
        <v/>
      </c>
    </row>
    <row r="1505">
      <c r="A1505" s="4" t="inlineStr">
        <is>
          <t>Продажи</t>
        </is>
      </c>
      <c r="B1505" s="5">
        <f>B1525+B1542+B1559</f>
        <v/>
      </c>
    </row>
    <row r="1506">
      <c r="A1506" s="6" t="inlineStr">
        <is>
          <t>Средний чек</t>
        </is>
      </c>
      <c r="B1506" s="9">
        <f>IFERROR(B1504/B1505,0)</f>
        <v/>
      </c>
    </row>
    <row r="1508">
      <c r="A1508" s="11" t="inlineStr">
        <is>
          <t>Вывод по сделкам за неделю</t>
        </is>
      </c>
    </row>
    <row r="1509" ht="30" customHeight="1">
      <c r="A1509" s="12" t="inlineStr">
        <is>
          <t>Сделок за неделю не создано.</t>
        </is>
      </c>
    </row>
    <row r="1511">
      <c r="A1511" s="15" t="inlineStr">
        <is>
          <t>[Поиск и РСЯ] Товарка cmprg.ru от 25.06.26</t>
        </is>
      </c>
      <c r="B1511" s="16">
        <f>B$1</f>
        <v/>
      </c>
    </row>
    <row r="1512">
      <c r="A1512" s="4" t="inlineStr">
        <is>
          <t>Показы</t>
        </is>
      </c>
      <c r="B1512" s="5" t="n">
        <v>7851</v>
      </c>
    </row>
    <row r="1513">
      <c r="A1513" s="4" t="inlineStr">
        <is>
          <t>Визиты</t>
        </is>
      </c>
      <c r="B1513" s="5" t="n">
        <v>354</v>
      </c>
    </row>
    <row r="1514">
      <c r="A1514" s="6" t="inlineStr">
        <is>
          <t>CTR</t>
        </is>
      </c>
      <c r="B1514" s="7">
        <f>IFERROR(B1513/B1512,0)</f>
        <v/>
      </c>
    </row>
    <row r="1515">
      <c r="A1515" s="6" t="inlineStr">
        <is>
          <t>CPC</t>
        </is>
      </c>
      <c r="B1515" s="8">
        <f>IFERROR(B1521/B1513,0)</f>
        <v/>
      </c>
    </row>
    <row r="1516">
      <c r="A1516" s="6" t="inlineStr">
        <is>
          <t>Конверсия в заявку</t>
        </is>
      </c>
      <c r="B1516" s="7">
        <f>IFERROR(B1517/B1513,0)</f>
        <v/>
      </c>
    </row>
    <row r="1517">
      <c r="A1517" s="4" t="inlineStr">
        <is>
          <t>Лид 1</t>
        </is>
      </c>
      <c r="B1517" s="5" t="n">
        <v>9</v>
      </c>
    </row>
    <row r="1518">
      <c r="A1518" s="6" t="inlineStr">
        <is>
          <t>Стоимость Лида 1</t>
        </is>
      </c>
      <c r="B1518" s="9">
        <f>IFERROR(B1521/B1517,0)</f>
        <v/>
      </c>
    </row>
    <row r="1519">
      <c r="A1519" s="4" t="inlineStr">
        <is>
          <t>Лиды 2</t>
        </is>
      </c>
      <c r="B1519" s="5" t="n">
        <v>4</v>
      </c>
    </row>
    <row r="1520">
      <c r="A1520" s="6" t="inlineStr">
        <is>
          <t>Стоимость Лида 2</t>
        </is>
      </c>
      <c r="B1520" s="9">
        <f>IFERROR(B1521/B1519,0)</f>
        <v/>
      </c>
    </row>
    <row r="1521">
      <c r="A1521" s="4" t="inlineStr">
        <is>
          <t>Рекламный бюджет</t>
        </is>
      </c>
      <c r="B1521" s="10" t="n">
        <v>23404.17</v>
      </c>
    </row>
    <row r="1522">
      <c r="A1522" s="4" t="inlineStr">
        <is>
          <t>Лиды 3</t>
        </is>
      </c>
      <c r="B1522" s="5" t="n">
        <v>0</v>
      </c>
    </row>
    <row r="1523">
      <c r="A1523" s="6" t="inlineStr">
        <is>
          <t>Стоимость Лида 3</t>
        </is>
      </c>
      <c r="B1523" s="9">
        <f>IFERROR(B1521/B1522,0)</f>
        <v/>
      </c>
    </row>
    <row r="1524">
      <c r="A1524" s="4" t="inlineStr">
        <is>
          <t>ВП</t>
        </is>
      </c>
      <c r="B1524" s="10" t="n">
        <v>0</v>
      </c>
    </row>
    <row r="1525">
      <c r="A1525" s="4" t="inlineStr">
        <is>
          <t>Продажи</t>
        </is>
      </c>
      <c r="B1525" s="5" t="n">
        <v>0</v>
      </c>
    </row>
    <row r="1526">
      <c r="A1526" s="6" t="inlineStr">
        <is>
          <t>Средний чек</t>
        </is>
      </c>
      <c r="B1526" s="9">
        <f>IFERROR(B1524/B1525,0)</f>
        <v/>
      </c>
    </row>
    <row r="1528">
      <c r="A1528" s="15" t="inlineStr">
        <is>
          <t>[Поиск] Бренд</t>
        </is>
      </c>
      <c r="B1528" s="16">
        <f>B$1</f>
        <v/>
      </c>
    </row>
    <row r="1529">
      <c r="A1529" s="4" t="inlineStr">
        <is>
          <t>Показы</t>
        </is>
      </c>
      <c r="B1529" s="5" t="n">
        <v>156</v>
      </c>
    </row>
    <row r="1530">
      <c r="A1530" s="4" t="inlineStr">
        <is>
          <t>Визиты</t>
        </is>
      </c>
      <c r="B1530" s="5" t="n">
        <v>27</v>
      </c>
    </row>
    <row r="1531">
      <c r="A1531" s="6" t="inlineStr">
        <is>
          <t>CTR</t>
        </is>
      </c>
      <c r="B1531" s="7">
        <f>IFERROR(B1530/B1529,0)</f>
        <v/>
      </c>
    </row>
    <row r="1532">
      <c r="A1532" s="6" t="inlineStr">
        <is>
          <t>CPC</t>
        </is>
      </c>
      <c r="B1532" s="8">
        <f>IFERROR(B1538/B1530,0)</f>
        <v/>
      </c>
    </row>
    <row r="1533">
      <c r="A1533" s="6" t="inlineStr">
        <is>
          <t>Конверсия в заявку</t>
        </is>
      </c>
      <c r="B1533" s="7">
        <f>IFERROR(B1534/B1530,0)</f>
        <v/>
      </c>
    </row>
    <row r="1534">
      <c r="A1534" s="4" t="inlineStr">
        <is>
          <t>Лид 1</t>
        </is>
      </c>
      <c r="B1534" s="5" t="n">
        <v>1</v>
      </c>
    </row>
    <row r="1535">
      <c r="A1535" s="6" t="inlineStr">
        <is>
          <t>Стоимость Лида 1</t>
        </is>
      </c>
      <c r="B1535" s="9">
        <f>IFERROR(B1538/B1534,0)</f>
        <v/>
      </c>
    </row>
    <row r="1536">
      <c r="A1536" s="4" t="inlineStr">
        <is>
          <t>Лиды 2</t>
        </is>
      </c>
      <c r="B1536" s="5" t="n">
        <v>1</v>
      </c>
    </row>
    <row r="1537">
      <c r="A1537" s="6" t="inlineStr">
        <is>
          <t>Стоимость Лида 2</t>
        </is>
      </c>
      <c r="B1537" s="9">
        <f>IFERROR(B1538/B1536,0)</f>
        <v/>
      </c>
    </row>
    <row r="1538">
      <c r="A1538" s="4" t="inlineStr">
        <is>
          <t>Рекламный бюджет</t>
        </is>
      </c>
      <c r="B1538" s="10" t="n">
        <v>12030.228</v>
      </c>
    </row>
    <row r="1539">
      <c r="A1539" s="4" t="inlineStr">
        <is>
          <t>Лиды 3</t>
        </is>
      </c>
      <c r="B1539" s="5" t="n">
        <v>0</v>
      </c>
    </row>
    <row r="1540">
      <c r="A1540" s="6" t="inlineStr">
        <is>
          <t>Стоимость Лида 3</t>
        </is>
      </c>
      <c r="B1540" s="9">
        <f>IFERROR(B1538/B1539,0)</f>
        <v/>
      </c>
    </row>
    <row r="1541">
      <c r="A1541" s="4" t="inlineStr">
        <is>
          <t>ВП</t>
        </is>
      </c>
      <c r="B1541" s="10" t="n">
        <v>0</v>
      </c>
    </row>
    <row r="1542">
      <c r="A1542" s="4" t="inlineStr">
        <is>
          <t>Продажи</t>
        </is>
      </c>
      <c r="B1542" s="5" t="n">
        <v>0</v>
      </c>
    </row>
    <row r="1543">
      <c r="A1543" s="6" t="inlineStr">
        <is>
          <t>Средний чек</t>
        </is>
      </c>
      <c r="B1543" s="9">
        <f>IFERROR(B1541/B1542,0)</f>
        <v/>
      </c>
    </row>
    <row r="1545">
      <c r="A1545" s="15" t="inlineStr">
        <is>
          <t>Не привязано к кампании</t>
        </is>
      </c>
      <c r="B1545" s="16">
        <f>B$1</f>
        <v/>
      </c>
    </row>
    <row r="1546">
      <c r="A1546" s="4" t="inlineStr">
        <is>
          <t>Показы</t>
        </is>
      </c>
      <c r="B1546" s="5" t="n">
        <v>0</v>
      </c>
    </row>
    <row r="1547">
      <c r="A1547" s="4" t="inlineStr">
        <is>
          <t>Визиты</t>
        </is>
      </c>
      <c r="B1547" s="5" t="n">
        <v>0</v>
      </c>
    </row>
    <row r="1548">
      <c r="A1548" s="6" t="inlineStr">
        <is>
          <t>CTR</t>
        </is>
      </c>
      <c r="B1548" s="7">
        <f>IFERROR(B1547/B1546,0)</f>
        <v/>
      </c>
    </row>
    <row r="1549">
      <c r="A1549" s="6" t="inlineStr">
        <is>
          <t>CPC</t>
        </is>
      </c>
      <c r="B1549" s="8">
        <f>IFERROR(B1555/B1547,0)</f>
        <v/>
      </c>
    </row>
    <row r="1550">
      <c r="A1550" s="6" t="inlineStr">
        <is>
          <t>Конверсия в заявку</t>
        </is>
      </c>
      <c r="B1550" s="7">
        <f>IFERROR(B1551/B1547,0)</f>
        <v/>
      </c>
    </row>
    <row r="1551">
      <c r="A1551" s="4" t="inlineStr">
        <is>
          <t>Лид 1</t>
        </is>
      </c>
      <c r="B1551" s="5" t="n">
        <v>1</v>
      </c>
    </row>
    <row r="1552">
      <c r="A1552" s="6" t="inlineStr">
        <is>
          <t>Стоимость Лида 1</t>
        </is>
      </c>
      <c r="B1552" s="9">
        <f>IFERROR(B1555/B1551,0)</f>
        <v/>
      </c>
    </row>
    <row r="1553">
      <c r="A1553" s="4" t="inlineStr">
        <is>
          <t>Лиды 2</t>
        </is>
      </c>
      <c r="B1553" s="5" t="n">
        <v>0</v>
      </c>
    </row>
    <row r="1554">
      <c r="A1554" s="6" t="inlineStr">
        <is>
          <t>Стоимость Лида 2</t>
        </is>
      </c>
      <c r="B1554" s="9">
        <f>IFERROR(B1555/B1553,0)</f>
        <v/>
      </c>
    </row>
    <row r="1555">
      <c r="A1555" s="4" t="inlineStr">
        <is>
          <t>Рекламный бюджет</t>
        </is>
      </c>
      <c r="B1555" s="10" t="n">
        <v>0</v>
      </c>
    </row>
    <row r="1556">
      <c r="A1556" s="4" t="inlineStr">
        <is>
          <t>Лиды 3</t>
        </is>
      </c>
      <c r="B1556" s="5" t="n">
        <v>0</v>
      </c>
    </row>
    <row r="1557">
      <c r="A1557" s="6" t="inlineStr">
        <is>
          <t>Стоимость Лида 3</t>
        </is>
      </c>
      <c r="B1557" s="9">
        <f>IFERROR(B1555/B1556,0)</f>
        <v/>
      </c>
    </row>
    <row r="1558">
      <c r="A1558" s="4" t="inlineStr">
        <is>
          <t>ВП</t>
        </is>
      </c>
      <c r="B1558" s="10" t="n">
        <v>0</v>
      </c>
    </row>
    <row r="1559">
      <c r="A1559" s="4" t="inlineStr">
        <is>
          <t>Продажи</t>
        </is>
      </c>
      <c r="B1559" s="5" t="n">
        <v>0</v>
      </c>
    </row>
    <row r="1560">
      <c r="A1560" s="6" t="inlineStr">
        <is>
          <t>Средний чек</t>
        </is>
      </c>
      <c r="B1560" s="9">
        <f>IFERROR(B1558/B1559,0)</f>
        <v/>
      </c>
    </row>
    <row r="1563">
      <c r="A1563" s="13" t="inlineStr">
        <is>
          <t>IRONMAC-COMPRESSOR.COM</t>
        </is>
      </c>
      <c r="B1563" s="14" t="n"/>
    </row>
    <row r="1564">
      <c r="A1564" s="15" t="inlineStr">
        <is>
          <t>Общие</t>
        </is>
      </c>
      <c r="B1564" s="16">
        <f>B$1</f>
        <v/>
      </c>
    </row>
    <row r="1565">
      <c r="A1565" s="4" t="inlineStr">
        <is>
          <t>Показы</t>
        </is>
      </c>
      <c r="B1565" s="5">
        <f>B1585+B1602+B1619+B1636+B1653</f>
        <v/>
      </c>
    </row>
    <row r="1566">
      <c r="A1566" s="4" t="inlineStr">
        <is>
          <t>Визиты</t>
        </is>
      </c>
      <c r="B1566" s="5">
        <f>B1586+B1603+B1620+B1637+B1654</f>
        <v/>
      </c>
    </row>
    <row r="1567">
      <c r="A1567" s="6" t="inlineStr">
        <is>
          <t>CTR</t>
        </is>
      </c>
      <c r="B1567" s="7">
        <f>IFERROR(B1566/B1565,0)</f>
        <v/>
      </c>
    </row>
    <row r="1568">
      <c r="A1568" s="6" t="inlineStr">
        <is>
          <t>CPC</t>
        </is>
      </c>
      <c r="B1568" s="8">
        <f>IFERROR(B1574/B1566,0)</f>
        <v/>
      </c>
    </row>
    <row r="1569">
      <c r="A1569" s="6" t="inlineStr">
        <is>
          <t>Конверсия в заявку</t>
        </is>
      </c>
      <c r="B1569" s="7">
        <f>IFERROR(B1570/B1566,0)</f>
        <v/>
      </c>
    </row>
    <row r="1570">
      <c r="A1570" s="4" t="inlineStr">
        <is>
          <t>Лид 1</t>
        </is>
      </c>
      <c r="B1570" s="5">
        <f>B1590+B1607+B1624+B1641+B1658</f>
        <v/>
      </c>
    </row>
    <row r="1571">
      <c r="A1571" s="6" t="inlineStr">
        <is>
          <t>Стоимость Лида 1</t>
        </is>
      </c>
      <c r="B1571" s="9">
        <f>IFERROR(B1574/B1570,0)</f>
        <v/>
      </c>
    </row>
    <row r="1572">
      <c r="A1572" s="4" t="inlineStr">
        <is>
          <t>Лиды 2</t>
        </is>
      </c>
      <c r="B1572" s="5">
        <f>B1592+B1609+B1626+B1643+B1660</f>
        <v/>
      </c>
    </row>
    <row r="1573">
      <c r="A1573" s="6" t="inlineStr">
        <is>
          <t>Стоимость Лида 2</t>
        </is>
      </c>
      <c r="B1573" s="9">
        <f>IFERROR(B1574/B1572,0)</f>
        <v/>
      </c>
    </row>
    <row r="1574">
      <c r="A1574" s="4" t="inlineStr">
        <is>
          <t>Рекламный бюджет</t>
        </is>
      </c>
      <c r="B1574" s="10">
        <f>B1594+B1611+B1628+B1645+B1662</f>
        <v/>
      </c>
    </row>
    <row r="1575">
      <c r="A1575" s="4" t="inlineStr">
        <is>
          <t>Лиды 3</t>
        </is>
      </c>
      <c r="B1575" s="5">
        <f>B1595+B1612+B1629+B1646+B1663</f>
        <v/>
      </c>
    </row>
    <row r="1576">
      <c r="A1576" s="6" t="inlineStr">
        <is>
          <t>Стоимость Лида 3</t>
        </is>
      </c>
      <c r="B1576" s="9">
        <f>IFERROR(B1574/B1575,0)</f>
        <v/>
      </c>
    </row>
    <row r="1577">
      <c r="A1577" s="4" t="inlineStr">
        <is>
          <t>ВП</t>
        </is>
      </c>
      <c r="B1577" s="10">
        <f>B1597+B1614+B1631+B1648+B1665</f>
        <v/>
      </c>
    </row>
    <row r="1578">
      <c r="A1578" s="4" t="inlineStr">
        <is>
          <t>Продажи</t>
        </is>
      </c>
      <c r="B1578" s="5">
        <f>B1598+B1615+B1632+B1649+B1666</f>
        <v/>
      </c>
    </row>
    <row r="1579">
      <c r="A1579" s="6" t="inlineStr">
        <is>
          <t>Средний чек</t>
        </is>
      </c>
      <c r="B1579" s="9">
        <f>IFERROR(B1577/B1578,0)</f>
        <v/>
      </c>
    </row>
    <row r="1581">
      <c r="A1581" s="11" t="inlineStr">
        <is>
          <t>Вывод по сделкам за неделю</t>
        </is>
      </c>
    </row>
    <row r="1582" ht="45" customHeight="1">
      <c r="A1582" s="12" t="inlineStr">
        <is>
          <t>За неделю создано 3 сделки: 1 сделка на 7,5 кВт, 1 сделка на 11 кВт и 1 сделка на 15 кВт. В работе 2 сделки, успешно завершена 1, проваленных нет. В сделках в работе: 1 винтовой компрессор на 11 кВт и 1 винтовой компрессор на 15 кВт. Ориентировочная сумма активных сделок — 1,1 млн руб.</t>
        </is>
      </c>
    </row>
    <row r="1584">
      <c r="A1584" s="15" t="inlineStr">
        <is>
          <t>[Поиск и РСЯ] Товарка от 06.08.26</t>
        </is>
      </c>
      <c r="B1584" s="16">
        <f>B$1</f>
        <v/>
      </c>
    </row>
    <row r="1585">
      <c r="A1585" s="4" t="inlineStr">
        <is>
          <t>Показы</t>
        </is>
      </c>
      <c r="B1585" s="5" t="n">
        <v>5142</v>
      </c>
    </row>
    <row r="1586">
      <c r="A1586" s="4" t="inlineStr">
        <is>
          <t>Визиты</t>
        </is>
      </c>
      <c r="B1586" s="5" t="n">
        <v>118</v>
      </c>
    </row>
    <row r="1587">
      <c r="A1587" s="6" t="inlineStr">
        <is>
          <t>CTR</t>
        </is>
      </c>
      <c r="B1587" s="7">
        <f>IFERROR(B1586/B1585,0)</f>
        <v/>
      </c>
    </row>
    <row r="1588">
      <c r="A1588" s="6" t="inlineStr">
        <is>
          <t>CPC</t>
        </is>
      </c>
      <c r="B1588" s="8">
        <f>IFERROR(B1594/B1586,0)</f>
        <v/>
      </c>
    </row>
    <row r="1589">
      <c r="A1589" s="6" t="inlineStr">
        <is>
          <t>Конверсия в заявку</t>
        </is>
      </c>
      <c r="B1589" s="7">
        <f>IFERROR(B1590/B1586,0)</f>
        <v/>
      </c>
    </row>
    <row r="1590">
      <c r="A1590" s="4" t="inlineStr">
        <is>
          <t>Лид 1</t>
        </is>
      </c>
      <c r="B1590" s="5" t="n">
        <v>2</v>
      </c>
    </row>
    <row r="1591">
      <c r="A1591" s="6" t="inlineStr">
        <is>
          <t>Стоимость Лида 1</t>
        </is>
      </c>
      <c r="B1591" s="9">
        <f>IFERROR(B1594/B1590,0)</f>
        <v/>
      </c>
    </row>
    <row r="1592">
      <c r="A1592" s="4" t="inlineStr">
        <is>
          <t>Лиды 2</t>
        </is>
      </c>
      <c r="B1592" s="5" t="n">
        <v>0</v>
      </c>
    </row>
    <row r="1593">
      <c r="A1593" s="6" t="inlineStr">
        <is>
          <t>Стоимость Лида 2</t>
        </is>
      </c>
      <c r="B1593" s="9">
        <f>IFERROR(B1594/B1592,0)</f>
        <v/>
      </c>
    </row>
    <row r="1594">
      <c r="A1594" s="4" t="inlineStr">
        <is>
          <t>Рекламный бюджет</t>
        </is>
      </c>
      <c r="B1594" s="10" t="n">
        <v>18429.28679999999</v>
      </c>
    </row>
    <row r="1595">
      <c r="A1595" s="4" t="inlineStr">
        <is>
          <t>Лиды 3</t>
        </is>
      </c>
      <c r="B1595" s="5" t="n">
        <v>0</v>
      </c>
    </row>
    <row r="1596">
      <c r="A1596" s="6" t="inlineStr">
        <is>
          <t>Стоимость Лида 3</t>
        </is>
      </c>
      <c r="B1596" s="9">
        <f>IFERROR(B1594/B1595,0)</f>
        <v/>
      </c>
    </row>
    <row r="1597">
      <c r="A1597" s="4" t="inlineStr">
        <is>
          <t>ВП</t>
        </is>
      </c>
      <c r="B1597" s="10" t="n">
        <v>0</v>
      </c>
    </row>
    <row r="1598">
      <c r="A1598" s="4" t="inlineStr">
        <is>
          <t>Продажи</t>
        </is>
      </c>
      <c r="B1598" s="5" t="n">
        <v>0</v>
      </c>
    </row>
    <row r="1599">
      <c r="A1599" s="6" t="inlineStr">
        <is>
          <t>Средний чек</t>
        </is>
      </c>
      <c r="B1599" s="9">
        <f>IFERROR(B1597/B1598,0)</f>
        <v/>
      </c>
    </row>
    <row r="1601">
      <c r="A1601" s="15" t="inlineStr">
        <is>
          <t>[Поиск] Бренд и модели</t>
        </is>
      </c>
      <c r="B1601" s="16">
        <f>B$1</f>
        <v/>
      </c>
    </row>
    <row r="1602">
      <c r="A1602" s="4" t="inlineStr">
        <is>
          <t>Показы</t>
        </is>
      </c>
      <c r="B1602" s="5" t="n">
        <v>241</v>
      </c>
    </row>
    <row r="1603">
      <c r="A1603" s="4" t="inlineStr">
        <is>
          <t>Визиты</t>
        </is>
      </c>
      <c r="B1603" s="5" t="n">
        <v>23</v>
      </c>
    </row>
    <row r="1604">
      <c r="A1604" s="6" t="inlineStr">
        <is>
          <t>CTR</t>
        </is>
      </c>
      <c r="B1604" s="7">
        <f>IFERROR(B1603/B1602,0)</f>
        <v/>
      </c>
    </row>
    <row r="1605">
      <c r="A1605" s="6" t="inlineStr">
        <is>
          <t>CPC</t>
        </is>
      </c>
      <c r="B1605" s="8">
        <f>IFERROR(B1611/B1603,0)</f>
        <v/>
      </c>
    </row>
    <row r="1606">
      <c r="A1606" s="6" t="inlineStr">
        <is>
          <t>Конверсия в заявку</t>
        </is>
      </c>
      <c r="B1606" s="7">
        <f>IFERROR(B1607/B1603,0)</f>
        <v/>
      </c>
    </row>
    <row r="1607">
      <c r="A1607" s="4" t="inlineStr">
        <is>
          <t>Лид 1</t>
        </is>
      </c>
      <c r="B1607" s="5" t="n">
        <v>2</v>
      </c>
    </row>
    <row r="1608">
      <c r="A1608" s="6" t="inlineStr">
        <is>
          <t>Стоимость Лида 1</t>
        </is>
      </c>
      <c r="B1608" s="9">
        <f>IFERROR(B1611/B1607,0)</f>
        <v/>
      </c>
    </row>
    <row r="1609">
      <c r="A1609" s="4" t="inlineStr">
        <is>
          <t>Лиды 2</t>
        </is>
      </c>
      <c r="B1609" s="5" t="n">
        <v>2</v>
      </c>
    </row>
    <row r="1610">
      <c r="A1610" s="6" t="inlineStr">
        <is>
          <t>Стоимость Лида 2</t>
        </is>
      </c>
      <c r="B1610" s="9">
        <f>IFERROR(B1611/B1609,0)</f>
        <v/>
      </c>
    </row>
    <row r="1611">
      <c r="A1611" s="4" t="inlineStr">
        <is>
          <t>Рекламный бюджет</t>
        </is>
      </c>
      <c r="B1611" s="10" t="n">
        <v>9457.343999999999</v>
      </c>
    </row>
    <row r="1612">
      <c r="A1612" s="4" t="inlineStr">
        <is>
          <t>Лиды 3</t>
        </is>
      </c>
      <c r="B1612" s="5" t="n">
        <v>2</v>
      </c>
    </row>
    <row r="1613">
      <c r="A1613" s="6" t="inlineStr">
        <is>
          <t>Стоимость Лида 3</t>
        </is>
      </c>
      <c r="B1613" s="9">
        <f>IFERROR(B1611/B1612,0)</f>
        <v/>
      </c>
    </row>
    <row r="1614">
      <c r="A1614" s="4" t="inlineStr">
        <is>
          <t>ВП</t>
        </is>
      </c>
      <c r="B1614" s="10" t="n">
        <v>0</v>
      </c>
    </row>
    <row r="1615">
      <c r="A1615" s="4" t="inlineStr">
        <is>
          <t>Продажи</t>
        </is>
      </c>
      <c r="B1615" s="5" t="n">
        <v>0</v>
      </c>
    </row>
    <row r="1616">
      <c r="A1616" s="6" t="inlineStr">
        <is>
          <t>Средний чек</t>
        </is>
      </c>
      <c r="B1616" s="9">
        <f>IFERROR(B1614/B1615,0)</f>
        <v/>
      </c>
    </row>
    <row r="1618">
      <c r="A1618" s="15" t="inlineStr">
        <is>
          <t>[МК] Квиз от 03.08.26</t>
        </is>
      </c>
      <c r="B1618" s="16">
        <f>B$1</f>
        <v/>
      </c>
    </row>
    <row r="1619">
      <c r="A1619" s="4" t="inlineStr">
        <is>
          <t>Показы</t>
        </is>
      </c>
      <c r="B1619" s="5" t="n">
        <v>25515</v>
      </c>
    </row>
    <row r="1620">
      <c r="A1620" s="4" t="inlineStr">
        <is>
          <t>Визиты</t>
        </is>
      </c>
      <c r="B1620" s="5" t="n">
        <v>247</v>
      </c>
    </row>
    <row r="1621">
      <c r="A1621" s="6" t="inlineStr">
        <is>
          <t>CTR</t>
        </is>
      </c>
      <c r="B1621" s="7">
        <f>IFERROR(B1620/B1619,0)</f>
        <v/>
      </c>
    </row>
    <row r="1622">
      <c r="A1622" s="6" t="inlineStr">
        <is>
          <t>CPC</t>
        </is>
      </c>
      <c r="B1622" s="8">
        <f>IFERROR(B1628/B1620,0)</f>
        <v/>
      </c>
    </row>
    <row r="1623">
      <c r="A1623" s="6" t="inlineStr">
        <is>
          <t>Конверсия в заявку</t>
        </is>
      </c>
      <c r="B1623" s="7">
        <f>IFERROR(B1624/B1620,0)</f>
        <v/>
      </c>
    </row>
    <row r="1624">
      <c r="A1624" s="4" t="inlineStr">
        <is>
          <t>Лид 1</t>
        </is>
      </c>
      <c r="B1624" s="5" t="n">
        <v>0</v>
      </c>
    </row>
    <row r="1625">
      <c r="A1625" s="6" t="inlineStr">
        <is>
          <t>Стоимость Лида 1</t>
        </is>
      </c>
      <c r="B1625" s="9">
        <f>IFERROR(B1628/B1624,0)</f>
        <v/>
      </c>
    </row>
    <row r="1626">
      <c r="A1626" s="4" t="inlineStr">
        <is>
          <t>Лиды 2</t>
        </is>
      </c>
      <c r="B1626" s="5" t="n">
        <v>0</v>
      </c>
    </row>
    <row r="1627">
      <c r="A1627" s="6" t="inlineStr">
        <is>
          <t>Стоимость Лида 2</t>
        </is>
      </c>
      <c r="B1627" s="9">
        <f>IFERROR(B1628/B1626,0)</f>
        <v/>
      </c>
    </row>
    <row r="1628">
      <c r="A1628" s="4" t="inlineStr">
        <is>
          <t>Рекламный бюджет</t>
        </is>
      </c>
      <c r="B1628" s="10" t="n">
        <v>7468.737599999999</v>
      </c>
    </row>
    <row r="1629">
      <c r="A1629" s="4" t="inlineStr">
        <is>
          <t>Лиды 3</t>
        </is>
      </c>
      <c r="B1629" s="5" t="n">
        <v>0</v>
      </c>
    </row>
    <row r="1630">
      <c r="A1630" s="6" t="inlineStr">
        <is>
          <t>Стоимость Лида 3</t>
        </is>
      </c>
      <c r="B1630" s="9">
        <f>IFERROR(B1628/B1629,0)</f>
        <v/>
      </c>
    </row>
    <row r="1631">
      <c r="A1631" s="4" t="inlineStr">
        <is>
          <t>ВП</t>
        </is>
      </c>
      <c r="B1631" s="10" t="n">
        <v>0</v>
      </c>
    </row>
    <row r="1632">
      <c r="A1632" s="4" t="inlineStr">
        <is>
          <t>Продажи</t>
        </is>
      </c>
      <c r="B1632" s="5" t="n">
        <v>0</v>
      </c>
    </row>
    <row r="1633">
      <c r="A1633" s="6" t="inlineStr">
        <is>
          <t>Средний чек</t>
        </is>
      </c>
      <c r="B1633" s="9">
        <f>IFERROR(B1631/B1632,0)</f>
        <v/>
      </c>
    </row>
    <row r="1635">
      <c r="A1635" s="15" t="inlineStr">
        <is>
          <t>[РСЯ] Ретаргетинг</t>
        </is>
      </c>
      <c r="B1635" s="16">
        <f>B$1</f>
        <v/>
      </c>
    </row>
    <row r="1636">
      <c r="A1636" s="4" t="inlineStr">
        <is>
          <t>Показы</t>
        </is>
      </c>
      <c r="B1636" s="5" t="n">
        <v>190</v>
      </c>
    </row>
    <row r="1637">
      <c r="A1637" s="4" t="inlineStr">
        <is>
          <t>Визиты</t>
        </is>
      </c>
      <c r="B1637" s="5" t="n">
        <v>5</v>
      </c>
    </row>
    <row r="1638">
      <c r="A1638" s="6" t="inlineStr">
        <is>
          <t>CTR</t>
        </is>
      </c>
      <c r="B1638" s="7">
        <f>IFERROR(B1637/B1636,0)</f>
        <v/>
      </c>
    </row>
    <row r="1639">
      <c r="A1639" s="6" t="inlineStr">
        <is>
          <t>CPC</t>
        </is>
      </c>
      <c r="B1639" s="8">
        <f>IFERROR(B1645/B1637,0)</f>
        <v/>
      </c>
    </row>
    <row r="1640">
      <c r="A1640" s="6" t="inlineStr">
        <is>
          <t>Конверсия в заявку</t>
        </is>
      </c>
      <c r="B1640" s="7">
        <f>IFERROR(B1641/B1637,0)</f>
        <v/>
      </c>
    </row>
    <row r="1641">
      <c r="A1641" s="4" t="inlineStr">
        <is>
          <t>Лид 1</t>
        </is>
      </c>
      <c r="B1641" s="5" t="n">
        <v>0</v>
      </c>
    </row>
    <row r="1642">
      <c r="A1642" s="6" t="inlineStr">
        <is>
          <t>Стоимость Лида 1</t>
        </is>
      </c>
      <c r="B1642" s="9">
        <f>IFERROR(B1645/B1641,0)</f>
        <v/>
      </c>
    </row>
    <row r="1643">
      <c r="A1643" s="4" t="inlineStr">
        <is>
          <t>Лиды 2</t>
        </is>
      </c>
      <c r="B1643" s="5" t="n">
        <v>0</v>
      </c>
    </row>
    <row r="1644">
      <c r="A1644" s="6" t="inlineStr">
        <is>
          <t>Стоимость Лида 2</t>
        </is>
      </c>
      <c r="B1644" s="9">
        <f>IFERROR(B1645/B1643,0)</f>
        <v/>
      </c>
    </row>
    <row r="1645">
      <c r="A1645" s="4" t="inlineStr">
        <is>
          <t>Рекламный бюджет</t>
        </is>
      </c>
      <c r="B1645" s="10" t="n">
        <v>0</v>
      </c>
    </row>
    <row r="1646">
      <c r="A1646" s="4" t="inlineStr">
        <is>
          <t>Лиды 3</t>
        </is>
      </c>
      <c r="B1646" s="5" t="n">
        <v>0</v>
      </c>
    </row>
    <row r="1647">
      <c r="A1647" s="6" t="inlineStr">
        <is>
          <t>Стоимость Лида 3</t>
        </is>
      </c>
      <c r="B1647" s="9">
        <f>IFERROR(B1645/B1646,0)</f>
        <v/>
      </c>
    </row>
    <row r="1648">
      <c r="A1648" s="4" t="inlineStr">
        <is>
          <t>ВП</t>
        </is>
      </c>
      <c r="B1648" s="10" t="n">
        <v>0</v>
      </c>
    </row>
    <row r="1649">
      <c r="A1649" s="4" t="inlineStr">
        <is>
          <t>Продажи</t>
        </is>
      </c>
      <c r="B1649" s="5" t="n">
        <v>0</v>
      </c>
    </row>
    <row r="1650">
      <c r="A1650" s="6" t="inlineStr">
        <is>
          <t>Средний чек</t>
        </is>
      </c>
      <c r="B1650" s="9">
        <f>IFERROR(B1648/B1649,0)</f>
        <v/>
      </c>
    </row>
    <row r="1652">
      <c r="A1652" s="15" t="inlineStr">
        <is>
          <t>Не привязано к кампании</t>
        </is>
      </c>
      <c r="B1652" s="16">
        <f>B$1</f>
        <v/>
      </c>
    </row>
    <row r="1653">
      <c r="A1653" s="4" t="inlineStr">
        <is>
          <t>Показы</t>
        </is>
      </c>
      <c r="B1653" s="5" t="n">
        <v>0</v>
      </c>
    </row>
    <row r="1654">
      <c r="A1654" s="4" t="inlineStr">
        <is>
          <t>Визиты</t>
        </is>
      </c>
      <c r="B1654" s="5" t="n">
        <v>0</v>
      </c>
    </row>
    <row r="1655">
      <c r="A1655" s="6" t="inlineStr">
        <is>
          <t>CTR</t>
        </is>
      </c>
      <c r="B1655" s="7">
        <f>IFERROR(B1654/B1653,0)</f>
        <v/>
      </c>
    </row>
    <row r="1656">
      <c r="A1656" s="6" t="inlineStr">
        <is>
          <t>CPC</t>
        </is>
      </c>
      <c r="B1656" s="8">
        <f>IFERROR(B1662/B1654,0)</f>
        <v/>
      </c>
    </row>
    <row r="1657">
      <c r="A1657" s="6" t="inlineStr">
        <is>
          <t>Конверсия в заявку</t>
        </is>
      </c>
      <c r="B1657" s="7">
        <f>IFERROR(B1658/B1654,0)</f>
        <v/>
      </c>
    </row>
    <row r="1658">
      <c r="A1658" s="4" t="inlineStr">
        <is>
          <t>Лид 1</t>
        </is>
      </c>
      <c r="B1658" s="5" t="n">
        <v>2</v>
      </c>
    </row>
    <row r="1659">
      <c r="A1659" s="6" t="inlineStr">
        <is>
          <t>Стоимость Лида 1</t>
        </is>
      </c>
      <c r="B1659" s="9">
        <f>IFERROR(B1662/B1658,0)</f>
        <v/>
      </c>
    </row>
    <row r="1660">
      <c r="A1660" s="4" t="inlineStr">
        <is>
          <t>Лиды 2</t>
        </is>
      </c>
      <c r="B1660" s="5" t="n">
        <v>1</v>
      </c>
    </row>
    <row r="1661">
      <c r="A1661" s="6" t="inlineStr">
        <is>
          <t>Стоимость Лида 2</t>
        </is>
      </c>
      <c r="B1661" s="9">
        <f>IFERROR(B1662/B1660,0)</f>
        <v/>
      </c>
    </row>
    <row r="1662">
      <c r="A1662" s="4" t="inlineStr">
        <is>
          <t>Рекламный бюджет</t>
        </is>
      </c>
      <c r="B1662" s="10" t="n">
        <v>0</v>
      </c>
    </row>
    <row r="1663">
      <c r="A1663" s="4" t="inlineStr">
        <is>
          <t>Лиды 3</t>
        </is>
      </c>
      <c r="B1663" s="5" t="n">
        <v>1</v>
      </c>
    </row>
    <row r="1664">
      <c r="A1664" s="6" t="inlineStr">
        <is>
          <t>Стоимость Лида 3</t>
        </is>
      </c>
      <c r="B1664" s="9">
        <f>IFERROR(B1662/B1663,0)</f>
        <v/>
      </c>
    </row>
    <row r="1665">
      <c r="A1665" s="4" t="inlineStr">
        <is>
          <t>ВП</t>
        </is>
      </c>
      <c r="B1665" s="10" t="n">
        <v>0</v>
      </c>
    </row>
    <row r="1666">
      <c r="A1666" s="4" t="inlineStr">
        <is>
          <t>Продажи</t>
        </is>
      </c>
      <c r="B1666" s="5" t="n">
        <v>1</v>
      </c>
    </row>
    <row r="1667">
      <c r="A1667" s="6" t="inlineStr">
        <is>
          <t>Средний чек</t>
        </is>
      </c>
      <c r="B1667" s="9">
        <f>IFERROR(B1665/B1666,0)</f>
        <v/>
      </c>
    </row>
    <row r="1670">
      <c r="A1670" s="13" t="inlineStr">
        <is>
          <t>ABAC-KOMPRESSOR.RU</t>
        </is>
      </c>
      <c r="B1670" s="14" t="n"/>
    </row>
    <row r="1671">
      <c r="A1671" s="15" t="inlineStr">
        <is>
          <t>Общие</t>
        </is>
      </c>
      <c r="B1671" s="16">
        <f>B$1</f>
        <v/>
      </c>
    </row>
    <row r="1672">
      <c r="A1672" s="4" t="inlineStr">
        <is>
          <t>Показы</t>
        </is>
      </c>
      <c r="B1672" s="5">
        <f>B1692+B1709+B1726</f>
        <v/>
      </c>
    </row>
    <row r="1673">
      <c r="A1673" s="4" t="inlineStr">
        <is>
          <t>Визиты</t>
        </is>
      </c>
      <c r="B1673" s="5">
        <f>B1693+B1710+B1727</f>
        <v/>
      </c>
    </row>
    <row r="1674">
      <c r="A1674" s="6" t="inlineStr">
        <is>
          <t>CTR</t>
        </is>
      </c>
      <c r="B1674" s="7">
        <f>IFERROR(B1673/B1672,0)</f>
        <v/>
      </c>
    </row>
    <row r="1675">
      <c r="A1675" s="6" t="inlineStr">
        <is>
          <t>CPC</t>
        </is>
      </c>
      <c r="B1675" s="8">
        <f>IFERROR(B1681/B1673,0)</f>
        <v/>
      </c>
    </row>
    <row r="1676">
      <c r="A1676" s="6" t="inlineStr">
        <is>
          <t>Конверсия в заявку</t>
        </is>
      </c>
      <c r="B1676" s="7">
        <f>IFERROR(B1677/B1673,0)</f>
        <v/>
      </c>
    </row>
    <row r="1677">
      <c r="A1677" s="4" t="inlineStr">
        <is>
          <t>Лид 1</t>
        </is>
      </c>
      <c r="B1677" s="5">
        <f>B1697+B1714+B1731</f>
        <v/>
      </c>
    </row>
    <row r="1678">
      <c r="A1678" s="6" t="inlineStr">
        <is>
          <t>Стоимость Лида 1</t>
        </is>
      </c>
      <c r="B1678" s="9">
        <f>IFERROR(B1681/B1677,0)</f>
        <v/>
      </c>
    </row>
    <row r="1679">
      <c r="A1679" s="4" t="inlineStr">
        <is>
          <t>Лиды 2</t>
        </is>
      </c>
      <c r="B1679" s="5">
        <f>B1699+B1716+B1733</f>
        <v/>
      </c>
    </row>
    <row r="1680">
      <c r="A1680" s="6" t="inlineStr">
        <is>
          <t>Стоимость Лида 2</t>
        </is>
      </c>
      <c r="B1680" s="9">
        <f>IFERROR(B1681/B1679,0)</f>
        <v/>
      </c>
    </row>
    <row r="1681">
      <c r="A1681" s="4" t="inlineStr">
        <is>
          <t>Рекламный бюджет</t>
        </is>
      </c>
      <c r="B1681" s="10">
        <f>B1701+B1718+B1735</f>
        <v/>
      </c>
    </row>
    <row r="1682">
      <c r="A1682" s="4" t="inlineStr">
        <is>
          <t>Лиды 3</t>
        </is>
      </c>
      <c r="B1682" s="5">
        <f>B1702+B1719+B1736</f>
        <v/>
      </c>
    </row>
    <row r="1683">
      <c r="A1683" s="6" t="inlineStr">
        <is>
          <t>Стоимость Лида 3</t>
        </is>
      </c>
      <c r="B1683" s="9">
        <f>IFERROR(B1681/B1682,0)</f>
        <v/>
      </c>
    </row>
    <row r="1684">
      <c r="A1684" s="4" t="inlineStr">
        <is>
          <t>ВП</t>
        </is>
      </c>
      <c r="B1684" s="10">
        <f>B1704+B1721+B1738</f>
        <v/>
      </c>
    </row>
    <row r="1685">
      <c r="A1685" s="4" t="inlineStr">
        <is>
          <t>Продажи</t>
        </is>
      </c>
      <c r="B1685" s="5">
        <f>B1705+B1722+B1739</f>
        <v/>
      </c>
    </row>
    <row r="1686">
      <c r="A1686" s="6" t="inlineStr">
        <is>
          <t>Средний чек</t>
        </is>
      </c>
      <c r="B1686" s="9">
        <f>IFERROR(B1684/B1685,0)</f>
        <v/>
      </c>
    </row>
    <row r="1688">
      <c r="A1688" s="11" t="inlineStr">
        <is>
          <t>Вывод по сделкам за неделю</t>
        </is>
      </c>
    </row>
    <row r="1689" ht="30" customHeight="1">
      <c r="A1689" s="12" t="inlineStr">
        <is>
          <t>Сделок за неделю не создано.</t>
        </is>
      </c>
    </row>
    <row r="1691">
      <c r="A1691" s="15" t="inlineStr">
        <is>
          <t>[Поиск и РСЯ] Товарка abac от 25.06.26</t>
        </is>
      </c>
      <c r="B1691" s="16">
        <f>B$1</f>
        <v/>
      </c>
    </row>
    <row r="1692">
      <c r="A1692" s="4" t="inlineStr">
        <is>
          <t>Показы</t>
        </is>
      </c>
      <c r="B1692" s="5" t="n">
        <v>9212</v>
      </c>
    </row>
    <row r="1693">
      <c r="A1693" s="4" t="inlineStr">
        <is>
          <t>Визиты</t>
        </is>
      </c>
      <c r="B1693" s="5" t="n">
        <v>390</v>
      </c>
    </row>
    <row r="1694">
      <c r="A1694" s="6" t="inlineStr">
        <is>
          <t>CTR</t>
        </is>
      </c>
      <c r="B1694" s="7">
        <f>IFERROR(B1693/B1692,0)</f>
        <v/>
      </c>
    </row>
    <row r="1695">
      <c r="A1695" s="6" t="inlineStr">
        <is>
          <t>CPC</t>
        </is>
      </c>
      <c r="B1695" s="8">
        <f>IFERROR(B1701/B1693,0)</f>
        <v/>
      </c>
    </row>
    <row r="1696">
      <c r="A1696" s="6" t="inlineStr">
        <is>
          <t>Конверсия в заявку</t>
        </is>
      </c>
      <c r="B1696" s="7">
        <f>IFERROR(B1697/B1693,0)</f>
        <v/>
      </c>
    </row>
    <row r="1697">
      <c r="A1697" s="4" t="inlineStr">
        <is>
          <t>Лид 1</t>
        </is>
      </c>
      <c r="B1697" s="5" t="n">
        <v>4</v>
      </c>
    </row>
    <row r="1698">
      <c r="A1698" s="6" t="inlineStr">
        <is>
          <t>Стоимость Лида 1</t>
        </is>
      </c>
      <c r="B1698" s="9">
        <f>IFERROR(B1701/B1697,0)</f>
        <v/>
      </c>
    </row>
    <row r="1699">
      <c r="A1699" s="4" t="inlineStr">
        <is>
          <t>Лиды 2</t>
        </is>
      </c>
      <c r="B1699" s="5" t="n">
        <v>2</v>
      </c>
    </row>
    <row r="1700">
      <c r="A1700" s="6" t="inlineStr">
        <is>
          <t>Стоимость Лида 2</t>
        </is>
      </c>
      <c r="B1700" s="9">
        <f>IFERROR(B1701/B1699,0)</f>
        <v/>
      </c>
    </row>
    <row r="1701">
      <c r="A1701" s="4" t="inlineStr">
        <is>
          <t>Рекламный бюджет</t>
        </is>
      </c>
      <c r="B1701" s="10" t="n">
        <v>6149.207999999999</v>
      </c>
    </row>
    <row r="1702">
      <c r="A1702" s="4" t="inlineStr">
        <is>
          <t>Лиды 3</t>
        </is>
      </c>
      <c r="B1702" s="5" t="n">
        <v>0</v>
      </c>
    </row>
    <row r="1703">
      <c r="A1703" s="6" t="inlineStr">
        <is>
          <t>Стоимость Лида 3</t>
        </is>
      </c>
      <c r="B1703" s="9">
        <f>IFERROR(B1701/B1702,0)</f>
        <v/>
      </c>
    </row>
    <row r="1704">
      <c r="A1704" s="4" t="inlineStr">
        <is>
          <t>ВП</t>
        </is>
      </c>
      <c r="B1704" s="10" t="n">
        <v>0</v>
      </c>
    </row>
    <row r="1705">
      <c r="A1705" s="4" t="inlineStr">
        <is>
          <t>Продажи</t>
        </is>
      </c>
      <c r="B1705" s="5" t="n">
        <v>0</v>
      </c>
    </row>
    <row r="1706">
      <c r="A1706" s="6" t="inlineStr">
        <is>
          <t>Средний чек</t>
        </is>
      </c>
      <c r="B1706" s="9">
        <f>IFERROR(B1704/B1705,0)</f>
        <v/>
      </c>
    </row>
    <row r="1708">
      <c r="A1708" s="15" t="inlineStr">
        <is>
          <t>[Поиск] ABAC</t>
        </is>
      </c>
      <c r="B1708" s="16">
        <f>B$1</f>
        <v/>
      </c>
    </row>
    <row r="1709">
      <c r="A1709" s="4" t="inlineStr">
        <is>
          <t>Показы</t>
        </is>
      </c>
      <c r="B1709" s="5" t="n">
        <v>273</v>
      </c>
    </row>
    <row r="1710">
      <c r="A1710" s="4" t="inlineStr">
        <is>
          <t>Визиты</t>
        </is>
      </c>
      <c r="B1710" s="5" t="n">
        <v>27</v>
      </c>
    </row>
    <row r="1711">
      <c r="A1711" s="6" t="inlineStr">
        <is>
          <t>CTR</t>
        </is>
      </c>
      <c r="B1711" s="7">
        <f>IFERROR(B1710/B1709,0)</f>
        <v/>
      </c>
    </row>
    <row r="1712">
      <c r="A1712" s="6" t="inlineStr">
        <is>
          <t>CPC</t>
        </is>
      </c>
      <c r="B1712" s="8">
        <f>IFERROR(B1718/B1710,0)</f>
        <v/>
      </c>
    </row>
    <row r="1713">
      <c r="A1713" s="6" t="inlineStr">
        <is>
          <t>Конверсия в заявку</t>
        </is>
      </c>
      <c r="B1713" s="7">
        <f>IFERROR(B1714/B1710,0)</f>
        <v/>
      </c>
    </row>
    <row r="1714">
      <c r="A1714" s="4" t="inlineStr">
        <is>
          <t>Лид 1</t>
        </is>
      </c>
      <c r="B1714" s="5" t="n">
        <v>0</v>
      </c>
    </row>
    <row r="1715">
      <c r="A1715" s="6" t="inlineStr">
        <is>
          <t>Стоимость Лида 1</t>
        </is>
      </c>
      <c r="B1715" s="9">
        <f>IFERROR(B1718/B1714,0)</f>
        <v/>
      </c>
    </row>
    <row r="1716">
      <c r="A1716" s="4" t="inlineStr">
        <is>
          <t>Лиды 2</t>
        </is>
      </c>
      <c r="B1716" s="5" t="n">
        <v>0</v>
      </c>
    </row>
    <row r="1717">
      <c r="A1717" s="6" t="inlineStr">
        <is>
          <t>Стоимость Лида 2</t>
        </is>
      </c>
      <c r="B1717" s="9">
        <f>IFERROR(B1718/B1716,0)</f>
        <v/>
      </c>
    </row>
    <row r="1718">
      <c r="A1718" s="4" t="inlineStr">
        <is>
          <t>Рекламный бюджет</t>
        </is>
      </c>
      <c r="B1718" s="10" t="n">
        <v>909.38</v>
      </c>
    </row>
    <row r="1719">
      <c r="A1719" s="4" t="inlineStr">
        <is>
          <t>Лиды 3</t>
        </is>
      </c>
      <c r="B1719" s="5" t="n">
        <v>0</v>
      </c>
    </row>
    <row r="1720">
      <c r="A1720" s="6" t="inlineStr">
        <is>
          <t>Стоимость Лида 3</t>
        </is>
      </c>
      <c r="B1720" s="9">
        <f>IFERROR(B1718/B1719,0)</f>
        <v/>
      </c>
    </row>
    <row r="1721">
      <c r="A1721" s="4" t="inlineStr">
        <is>
          <t>ВП</t>
        </is>
      </c>
      <c r="B1721" s="10" t="n">
        <v>0</v>
      </c>
    </row>
    <row r="1722">
      <c r="A1722" s="4" t="inlineStr">
        <is>
          <t>Продажи</t>
        </is>
      </c>
      <c r="B1722" s="5" t="n">
        <v>0</v>
      </c>
    </row>
    <row r="1723">
      <c r="A1723" s="6" t="inlineStr">
        <is>
          <t>Средний чек</t>
        </is>
      </c>
      <c r="B1723" s="9">
        <f>IFERROR(B1721/B1722,0)</f>
        <v/>
      </c>
    </row>
    <row r="1725">
      <c r="A1725" s="15" t="inlineStr">
        <is>
          <t>Не привязано к кампании</t>
        </is>
      </c>
      <c r="B1725" s="16">
        <f>B$1</f>
        <v/>
      </c>
    </row>
    <row r="1726">
      <c r="A1726" s="4" t="inlineStr">
        <is>
          <t>Показы</t>
        </is>
      </c>
      <c r="B1726" s="5" t="n">
        <v>0</v>
      </c>
    </row>
    <row r="1727">
      <c r="A1727" s="4" t="inlineStr">
        <is>
          <t>Визиты</t>
        </is>
      </c>
      <c r="B1727" s="5" t="n">
        <v>0</v>
      </c>
    </row>
    <row r="1728">
      <c r="A1728" s="6" t="inlineStr">
        <is>
          <t>CTR</t>
        </is>
      </c>
      <c r="B1728" s="7">
        <f>IFERROR(B1727/B1726,0)</f>
        <v/>
      </c>
    </row>
    <row r="1729">
      <c r="A1729" s="6" t="inlineStr">
        <is>
          <t>CPC</t>
        </is>
      </c>
      <c r="B1729" s="8">
        <f>IFERROR(B1735/B1727,0)</f>
        <v/>
      </c>
    </row>
    <row r="1730">
      <c r="A1730" s="6" t="inlineStr">
        <is>
          <t>Конверсия в заявку</t>
        </is>
      </c>
      <c r="B1730" s="7">
        <f>IFERROR(B1731/B1727,0)</f>
        <v/>
      </c>
    </row>
    <row r="1731">
      <c r="A1731" s="4" t="inlineStr">
        <is>
          <t>Лид 1</t>
        </is>
      </c>
      <c r="B1731" s="5" t="n">
        <v>4</v>
      </c>
    </row>
    <row r="1732">
      <c r="A1732" s="6" t="inlineStr">
        <is>
          <t>Стоимость Лида 1</t>
        </is>
      </c>
      <c r="B1732" s="9">
        <f>IFERROR(B1735/B1731,0)</f>
        <v/>
      </c>
    </row>
    <row r="1733">
      <c r="A1733" s="4" t="inlineStr">
        <is>
          <t>Лиды 2</t>
        </is>
      </c>
      <c r="B1733" s="5" t="n">
        <v>3</v>
      </c>
    </row>
    <row r="1734">
      <c r="A1734" s="6" t="inlineStr">
        <is>
          <t>Стоимость Лида 2</t>
        </is>
      </c>
      <c r="B1734" s="9">
        <f>IFERROR(B1735/B1733,0)</f>
        <v/>
      </c>
    </row>
    <row r="1735">
      <c r="A1735" s="4" t="inlineStr">
        <is>
          <t>Рекламный бюджет</t>
        </is>
      </c>
      <c r="B1735" s="10" t="n">
        <v>0</v>
      </c>
    </row>
    <row r="1736">
      <c r="A1736" s="4" t="inlineStr">
        <is>
          <t>Лиды 3</t>
        </is>
      </c>
      <c r="B1736" s="5" t="n">
        <v>0</v>
      </c>
    </row>
    <row r="1737">
      <c r="A1737" s="6" t="inlineStr">
        <is>
          <t>Стоимость Лида 3</t>
        </is>
      </c>
      <c r="B1737" s="9">
        <f>IFERROR(B1735/B1736,0)</f>
        <v/>
      </c>
    </row>
    <row r="1738">
      <c r="A1738" s="4" t="inlineStr">
        <is>
          <t>ВП</t>
        </is>
      </c>
      <c r="B1738" s="10" t="n">
        <v>0</v>
      </c>
    </row>
    <row r="1739">
      <c r="A1739" s="4" t="inlineStr">
        <is>
          <t>Продажи</t>
        </is>
      </c>
      <c r="B1739" s="5" t="n">
        <v>0</v>
      </c>
    </row>
    <row r="1740">
      <c r="A1740" s="6" t="inlineStr">
        <is>
          <t>Средний чек</t>
        </is>
      </c>
      <c r="B1740" s="9">
        <f>IFERROR(B1738/B1739,0)</f>
        <v/>
      </c>
    </row>
    <row r="1743">
      <c r="A1743" s="13" t="inlineStr">
        <is>
          <t>EKOMAK-KOMPRESSOR.COM</t>
        </is>
      </c>
      <c r="B1743" s="14" t="n"/>
    </row>
    <row r="1744">
      <c r="A1744" s="15" t="inlineStr">
        <is>
          <t>Общие</t>
        </is>
      </c>
      <c r="B1744" s="16">
        <f>B$1</f>
        <v/>
      </c>
    </row>
    <row r="1745">
      <c r="A1745" s="4" t="inlineStr">
        <is>
          <t>Показы</t>
        </is>
      </c>
      <c r="B1745" s="5">
        <f>B1765+B1782</f>
        <v/>
      </c>
    </row>
    <row r="1746">
      <c r="A1746" s="4" t="inlineStr">
        <is>
          <t>Визиты</t>
        </is>
      </c>
      <c r="B1746" s="5">
        <f>B1766+B1783</f>
        <v/>
      </c>
    </row>
    <row r="1747">
      <c r="A1747" s="6" t="inlineStr">
        <is>
          <t>CTR</t>
        </is>
      </c>
      <c r="B1747" s="7">
        <f>IFERROR(B1746/B1745,0)</f>
        <v/>
      </c>
    </row>
    <row r="1748">
      <c r="A1748" s="6" t="inlineStr">
        <is>
          <t>CPC</t>
        </is>
      </c>
      <c r="B1748" s="8">
        <f>IFERROR(B1754/B1746,0)</f>
        <v/>
      </c>
    </row>
    <row r="1749">
      <c r="A1749" s="6" t="inlineStr">
        <is>
          <t>Конверсия в заявку</t>
        </is>
      </c>
      <c r="B1749" s="7">
        <f>IFERROR(B1750/B1746,0)</f>
        <v/>
      </c>
    </row>
    <row r="1750">
      <c r="A1750" s="4" t="inlineStr">
        <is>
          <t>Лид 1</t>
        </is>
      </c>
      <c r="B1750" s="5">
        <f>B1770+B1787</f>
        <v/>
      </c>
    </row>
    <row r="1751">
      <c r="A1751" s="6" t="inlineStr">
        <is>
          <t>Стоимость Лида 1</t>
        </is>
      </c>
      <c r="B1751" s="9">
        <f>IFERROR(B1754/B1750,0)</f>
        <v/>
      </c>
    </row>
    <row r="1752">
      <c r="A1752" s="4" t="inlineStr">
        <is>
          <t>Лиды 2</t>
        </is>
      </c>
      <c r="B1752" s="5">
        <f>B1772+B1789</f>
        <v/>
      </c>
    </row>
    <row r="1753">
      <c r="A1753" s="6" t="inlineStr">
        <is>
          <t>Стоимость Лида 2</t>
        </is>
      </c>
      <c r="B1753" s="9">
        <f>IFERROR(B1754/B1752,0)</f>
        <v/>
      </c>
    </row>
    <row r="1754">
      <c r="A1754" s="4" t="inlineStr">
        <is>
          <t>Рекламный бюджет</t>
        </is>
      </c>
      <c r="B1754" s="10">
        <f>B1774+B1791</f>
        <v/>
      </c>
    </row>
    <row r="1755">
      <c r="A1755" s="4" t="inlineStr">
        <is>
          <t>Лиды 3</t>
        </is>
      </c>
      <c r="B1755" s="5">
        <f>B1775+B1792</f>
        <v/>
      </c>
    </row>
    <row r="1756">
      <c r="A1756" s="6" t="inlineStr">
        <is>
          <t>Стоимость Лида 3</t>
        </is>
      </c>
      <c r="B1756" s="9">
        <f>IFERROR(B1754/B1755,0)</f>
        <v/>
      </c>
    </row>
    <row r="1757">
      <c r="A1757" s="4" t="inlineStr">
        <is>
          <t>ВП</t>
        </is>
      </c>
      <c r="B1757" s="10">
        <f>B1777+B1794</f>
        <v/>
      </c>
    </row>
    <row r="1758">
      <c r="A1758" s="4" t="inlineStr">
        <is>
          <t>Продажи</t>
        </is>
      </c>
      <c r="B1758" s="5">
        <f>B1778+B1795</f>
        <v/>
      </c>
    </row>
    <row r="1759">
      <c r="A1759" s="6" t="inlineStr">
        <is>
          <t>Средний чек</t>
        </is>
      </c>
      <c r="B1759" s="9">
        <f>IFERROR(B1757/B1758,0)</f>
        <v/>
      </c>
    </row>
    <row r="1761">
      <c r="A1761" s="11" t="inlineStr">
        <is>
          <t>Вывод по сделкам за неделю</t>
        </is>
      </c>
    </row>
    <row r="1762" ht="30" customHeight="1">
      <c r="A1762" s="12" t="inlineStr">
        <is>
          <t>За неделю создана 1 сделка на 15 кВт. В работе 1 сделка, успешно завершённых нет, проваленных нет. В сделках в работе: 1 винтовой компрессор на 15 кВт. Ориентировочная сумма активных сделок — 1,9 млн руб.</t>
        </is>
      </c>
    </row>
    <row r="1764">
      <c r="A1764" s="15" t="inlineStr">
        <is>
          <t>[Поиск] Бренд и модели Ekomak</t>
        </is>
      </c>
      <c r="B1764" s="16">
        <f>B$1</f>
        <v/>
      </c>
    </row>
    <row r="1765">
      <c r="A1765" s="4" t="inlineStr">
        <is>
          <t>Показы</t>
        </is>
      </c>
      <c r="B1765" s="5" t="n">
        <v>124</v>
      </c>
    </row>
    <row r="1766">
      <c r="A1766" s="4" t="inlineStr">
        <is>
          <t>Визиты</t>
        </is>
      </c>
      <c r="B1766" s="5" t="n">
        <v>22</v>
      </c>
    </row>
    <row r="1767">
      <c r="A1767" s="6" t="inlineStr">
        <is>
          <t>CTR</t>
        </is>
      </c>
      <c r="B1767" s="7">
        <f>IFERROR(B1766/B1765,0)</f>
        <v/>
      </c>
    </row>
    <row r="1768">
      <c r="A1768" s="6" t="inlineStr">
        <is>
          <t>CPC</t>
        </is>
      </c>
      <c r="B1768" s="8">
        <f>IFERROR(B1774/B1766,0)</f>
        <v/>
      </c>
    </row>
    <row r="1769">
      <c r="A1769" s="6" t="inlineStr">
        <is>
          <t>Конверсия в заявку</t>
        </is>
      </c>
      <c r="B1769" s="7">
        <f>IFERROR(B1770/B1766,0)</f>
        <v/>
      </c>
    </row>
    <row r="1770">
      <c r="A1770" s="4" t="inlineStr">
        <is>
          <t>Лид 1</t>
        </is>
      </c>
      <c r="B1770" s="5" t="n">
        <v>1</v>
      </c>
    </row>
    <row r="1771">
      <c r="A1771" s="6" t="inlineStr">
        <is>
          <t>Стоимость Лида 1</t>
        </is>
      </c>
      <c r="B1771" s="9">
        <f>IFERROR(B1774/B1770,0)</f>
        <v/>
      </c>
    </row>
    <row r="1772">
      <c r="A1772" s="4" t="inlineStr">
        <is>
          <t>Лиды 2</t>
        </is>
      </c>
      <c r="B1772" s="5" t="n">
        <v>1</v>
      </c>
    </row>
    <row r="1773">
      <c r="A1773" s="6" t="inlineStr">
        <is>
          <t>Стоимость Лида 2</t>
        </is>
      </c>
      <c r="B1773" s="9">
        <f>IFERROR(B1774/B1772,0)</f>
        <v/>
      </c>
    </row>
    <row r="1774">
      <c r="A1774" s="4" t="inlineStr">
        <is>
          <t>Рекламный бюджет</t>
        </is>
      </c>
      <c r="B1774" s="10" t="n">
        <v>4120.08</v>
      </c>
    </row>
    <row r="1775">
      <c r="A1775" s="4" t="inlineStr">
        <is>
          <t>Лиды 3</t>
        </is>
      </c>
      <c r="B1775" s="5" t="n">
        <v>1</v>
      </c>
    </row>
    <row r="1776">
      <c r="A1776" s="6" t="inlineStr">
        <is>
          <t>Стоимость Лида 3</t>
        </is>
      </c>
      <c r="B1776" s="9">
        <f>IFERROR(B1774/B1775,0)</f>
        <v/>
      </c>
    </row>
    <row r="1777">
      <c r="A1777" s="4" t="inlineStr">
        <is>
          <t>ВП</t>
        </is>
      </c>
      <c r="B1777" s="10" t="n">
        <v>0</v>
      </c>
    </row>
    <row r="1778">
      <c r="A1778" s="4" t="inlineStr">
        <is>
          <t>Продажи</t>
        </is>
      </c>
      <c r="B1778" s="5" t="n">
        <v>0</v>
      </c>
    </row>
    <row r="1779">
      <c r="A1779" s="6" t="inlineStr">
        <is>
          <t>Средний чек</t>
        </is>
      </c>
      <c r="B1779" s="9">
        <f>IFERROR(B1777/B1778,0)</f>
        <v/>
      </c>
    </row>
    <row r="1781">
      <c r="A1781" s="15" t="inlineStr">
        <is>
          <t>Не привязано к кампании</t>
        </is>
      </c>
      <c r="B1781" s="16">
        <f>B$1</f>
        <v/>
      </c>
    </row>
    <row r="1782">
      <c r="A1782" s="4" t="inlineStr">
        <is>
          <t>Показы</t>
        </is>
      </c>
      <c r="B1782" s="5" t="n">
        <v>0</v>
      </c>
    </row>
    <row r="1783">
      <c r="A1783" s="4" t="inlineStr">
        <is>
          <t>Визиты</t>
        </is>
      </c>
      <c r="B1783" s="5" t="n">
        <v>0</v>
      </c>
    </row>
    <row r="1784">
      <c r="A1784" s="6" t="inlineStr">
        <is>
          <t>CTR</t>
        </is>
      </c>
      <c r="B1784" s="7">
        <f>IFERROR(B1783/B1782,0)</f>
        <v/>
      </c>
    </row>
    <row r="1785">
      <c r="A1785" s="6" t="inlineStr">
        <is>
          <t>CPC</t>
        </is>
      </c>
      <c r="B1785" s="8">
        <f>IFERROR(B1791/B1783,0)</f>
        <v/>
      </c>
    </row>
    <row r="1786">
      <c r="A1786" s="6" t="inlineStr">
        <is>
          <t>Конверсия в заявку</t>
        </is>
      </c>
      <c r="B1786" s="7">
        <f>IFERROR(B1787/B1783,0)</f>
        <v/>
      </c>
    </row>
    <row r="1787">
      <c r="A1787" s="4" t="inlineStr">
        <is>
          <t>Лид 1</t>
        </is>
      </c>
      <c r="B1787" s="5" t="n">
        <v>3</v>
      </c>
    </row>
    <row r="1788">
      <c r="A1788" s="6" t="inlineStr">
        <is>
          <t>Стоимость Лида 1</t>
        </is>
      </c>
      <c r="B1788" s="9">
        <f>IFERROR(B1791/B1787,0)</f>
        <v/>
      </c>
    </row>
    <row r="1789">
      <c r="A1789" s="4" t="inlineStr">
        <is>
          <t>Лиды 2</t>
        </is>
      </c>
      <c r="B1789" s="5" t="n">
        <v>1</v>
      </c>
    </row>
    <row r="1790">
      <c r="A1790" s="6" t="inlineStr">
        <is>
          <t>Стоимость Лида 2</t>
        </is>
      </c>
      <c r="B1790" s="9">
        <f>IFERROR(B1791/B1789,0)</f>
        <v/>
      </c>
    </row>
    <row r="1791">
      <c r="A1791" s="4" t="inlineStr">
        <is>
          <t>Рекламный бюджет</t>
        </is>
      </c>
      <c r="B1791" s="10" t="n">
        <v>0</v>
      </c>
    </row>
    <row r="1792">
      <c r="A1792" s="4" t="inlineStr">
        <is>
          <t>Лиды 3</t>
        </is>
      </c>
      <c r="B1792" s="5" t="n">
        <v>0</v>
      </c>
    </row>
    <row r="1793">
      <c r="A1793" s="6" t="inlineStr">
        <is>
          <t>Стоимость Лида 3</t>
        </is>
      </c>
      <c r="B1793" s="9">
        <f>IFERROR(B1791/B1792,0)</f>
        <v/>
      </c>
    </row>
    <row r="1794">
      <c r="A1794" s="4" t="inlineStr">
        <is>
          <t>ВП</t>
        </is>
      </c>
      <c r="B1794" s="10" t="n">
        <v>0</v>
      </c>
    </row>
    <row r="1795">
      <c r="A1795" s="4" t="inlineStr">
        <is>
          <t>Продажи</t>
        </is>
      </c>
      <c r="B1795" s="5" t="n">
        <v>0</v>
      </c>
    </row>
    <row r="1796">
      <c r="A1796" s="6" t="inlineStr">
        <is>
          <t>Средний чек</t>
        </is>
      </c>
      <c r="B1796" s="9">
        <f>IFERROR(B1794/B1795,0)</f>
        <v/>
      </c>
    </row>
    <row r="1799">
      <c r="A1799" s="13" t="inlineStr">
        <is>
          <t>COMARO-KOMPRESSOR.RU</t>
        </is>
      </c>
      <c r="B1799" s="14" t="n"/>
    </row>
    <row r="1800">
      <c r="A1800" s="15" t="inlineStr">
        <is>
          <t>Общие</t>
        </is>
      </c>
      <c r="B1800" s="16">
        <f>B$1</f>
        <v/>
      </c>
    </row>
    <row r="1801">
      <c r="A1801" s="4" t="inlineStr">
        <is>
          <t>Показы</t>
        </is>
      </c>
      <c r="B1801" s="5">
        <f>B1821+B1838</f>
        <v/>
      </c>
    </row>
    <row r="1802">
      <c r="A1802" s="4" t="inlineStr">
        <is>
          <t>Визиты</t>
        </is>
      </c>
      <c r="B1802" s="5">
        <f>B1822+B1839</f>
        <v/>
      </c>
    </row>
    <row r="1803">
      <c r="A1803" s="6" t="inlineStr">
        <is>
          <t>CTR</t>
        </is>
      </c>
      <c r="B1803" s="7">
        <f>IFERROR(B1802/B1801,0)</f>
        <v/>
      </c>
    </row>
    <row r="1804">
      <c r="A1804" s="6" t="inlineStr">
        <is>
          <t>CPC</t>
        </is>
      </c>
      <c r="B1804" s="8">
        <f>IFERROR(B1810/B1802,0)</f>
        <v/>
      </c>
    </row>
    <row r="1805">
      <c r="A1805" s="6" t="inlineStr">
        <is>
          <t>Конверсия в заявку</t>
        </is>
      </c>
      <c r="B1805" s="7">
        <f>IFERROR(B1806/B1802,0)</f>
        <v/>
      </c>
    </row>
    <row r="1806">
      <c r="A1806" s="4" t="inlineStr">
        <is>
          <t>Лид 1</t>
        </is>
      </c>
      <c r="B1806" s="5">
        <f>B1826+B1843</f>
        <v/>
      </c>
    </row>
    <row r="1807">
      <c r="A1807" s="6" t="inlineStr">
        <is>
          <t>Стоимость Лида 1</t>
        </is>
      </c>
      <c r="B1807" s="9">
        <f>IFERROR(B1810/B1806,0)</f>
        <v/>
      </c>
    </row>
    <row r="1808">
      <c r="A1808" s="4" t="inlineStr">
        <is>
          <t>Лиды 2</t>
        </is>
      </c>
      <c r="B1808" s="5">
        <f>B1828+B1845</f>
        <v/>
      </c>
    </row>
    <row r="1809">
      <c r="A1809" s="6" t="inlineStr">
        <is>
          <t>Стоимость Лида 2</t>
        </is>
      </c>
      <c r="B1809" s="9">
        <f>IFERROR(B1810/B1808,0)</f>
        <v/>
      </c>
    </row>
    <row r="1810">
      <c r="A1810" s="4" t="inlineStr">
        <is>
          <t>Рекламный бюджет</t>
        </is>
      </c>
      <c r="B1810" s="10">
        <f>B1830+B1847</f>
        <v/>
      </c>
    </row>
    <row r="1811">
      <c r="A1811" s="4" t="inlineStr">
        <is>
          <t>Лиды 3</t>
        </is>
      </c>
      <c r="B1811" s="5">
        <f>B1831+B1848</f>
        <v/>
      </c>
    </row>
    <row r="1812">
      <c r="A1812" s="6" t="inlineStr">
        <is>
          <t>Стоимость Лида 3</t>
        </is>
      </c>
      <c r="B1812" s="9">
        <f>IFERROR(B1810/B1811,0)</f>
        <v/>
      </c>
    </row>
    <row r="1813">
      <c r="A1813" s="4" t="inlineStr">
        <is>
          <t>ВП</t>
        </is>
      </c>
      <c r="B1813" s="10">
        <f>B1833+B1850</f>
        <v/>
      </c>
    </row>
    <row r="1814">
      <c r="A1814" s="4" t="inlineStr">
        <is>
          <t>Продажи</t>
        </is>
      </c>
      <c r="B1814" s="5">
        <f>B1834+B1851</f>
        <v/>
      </c>
    </row>
    <row r="1815">
      <c r="A1815" s="6" t="inlineStr">
        <is>
          <t>Средний чек</t>
        </is>
      </c>
      <c r="B1815" s="9">
        <f>IFERROR(B1813/B1814,0)</f>
        <v/>
      </c>
    </row>
    <row r="1817">
      <c r="A1817" s="11" t="inlineStr">
        <is>
          <t>Вывод по сделкам за неделю</t>
        </is>
      </c>
    </row>
    <row r="1818" ht="30" customHeight="1">
      <c r="A1818" s="12" t="inlineStr">
        <is>
          <t>Сделок за неделю не создано.</t>
        </is>
      </c>
    </row>
    <row r="1820">
      <c r="A1820" s="15" t="inlineStr">
        <is>
          <t>[РСЯ] Товарка от 31.07.26</t>
        </is>
      </c>
      <c r="B1820" s="16">
        <f>B$1</f>
        <v/>
      </c>
    </row>
    <row r="1821">
      <c r="A1821" s="4" t="inlineStr">
        <is>
          <t>Показы</t>
        </is>
      </c>
      <c r="B1821" s="5" t="n">
        <v>0</v>
      </c>
    </row>
    <row r="1822">
      <c r="A1822" s="4" t="inlineStr">
        <is>
          <t>Визиты</t>
        </is>
      </c>
      <c r="B1822" s="5" t="n">
        <v>2</v>
      </c>
    </row>
    <row r="1823">
      <c r="A1823" s="6" t="inlineStr">
        <is>
          <t>CTR</t>
        </is>
      </c>
      <c r="B1823" s="7">
        <f>IFERROR(B1822/B1821,0)</f>
        <v/>
      </c>
    </row>
    <row r="1824">
      <c r="A1824" s="6" t="inlineStr">
        <is>
          <t>CPC</t>
        </is>
      </c>
      <c r="B1824" s="8">
        <f>IFERROR(B1830/B1822,0)</f>
        <v/>
      </c>
    </row>
    <row r="1825">
      <c r="A1825" s="6" t="inlineStr">
        <is>
          <t>Конверсия в заявку</t>
        </is>
      </c>
      <c r="B1825" s="7">
        <f>IFERROR(B1826/B1822,0)</f>
        <v/>
      </c>
    </row>
    <row r="1826">
      <c r="A1826" s="4" t="inlineStr">
        <is>
          <t>Лид 1</t>
        </is>
      </c>
      <c r="B1826" s="5" t="n">
        <v>0</v>
      </c>
    </row>
    <row r="1827">
      <c r="A1827" s="6" t="inlineStr">
        <is>
          <t>Стоимость Лида 1</t>
        </is>
      </c>
      <c r="B1827" s="9">
        <f>IFERROR(B1830/B1826,0)</f>
        <v/>
      </c>
    </row>
    <row r="1828">
      <c r="A1828" s="4" t="inlineStr">
        <is>
          <t>Лиды 2</t>
        </is>
      </c>
      <c r="B1828" s="5" t="n">
        <v>0</v>
      </c>
    </row>
    <row r="1829">
      <c r="A1829" s="6" t="inlineStr">
        <is>
          <t>Стоимость Лида 2</t>
        </is>
      </c>
      <c r="B1829" s="9">
        <f>IFERROR(B1830/B1828,0)</f>
        <v/>
      </c>
    </row>
    <row r="1830">
      <c r="A1830" s="4" t="inlineStr">
        <is>
          <t>Рекламный бюджет</t>
        </is>
      </c>
      <c r="B1830" s="10" t="n">
        <v>0</v>
      </c>
    </row>
    <row r="1831">
      <c r="A1831" s="4" t="inlineStr">
        <is>
          <t>Лиды 3</t>
        </is>
      </c>
      <c r="B1831" s="5" t="n">
        <v>0</v>
      </c>
    </row>
    <row r="1832">
      <c r="A1832" s="6" t="inlineStr">
        <is>
          <t>Стоимость Лида 3</t>
        </is>
      </c>
      <c r="B1832" s="9">
        <f>IFERROR(B1830/B1831,0)</f>
        <v/>
      </c>
    </row>
    <row r="1833">
      <c r="A1833" s="4" t="inlineStr">
        <is>
          <t>ВП</t>
        </is>
      </c>
      <c r="B1833" s="10" t="n">
        <v>0</v>
      </c>
    </row>
    <row r="1834">
      <c r="A1834" s="4" t="inlineStr">
        <is>
          <t>Продажи</t>
        </is>
      </c>
      <c r="B1834" s="5" t="n">
        <v>0</v>
      </c>
    </row>
    <row r="1835">
      <c r="A1835" s="6" t="inlineStr">
        <is>
          <t>Средний чек</t>
        </is>
      </c>
      <c r="B1835" s="9">
        <f>IFERROR(B1833/B1834,0)</f>
        <v/>
      </c>
    </row>
    <row r="1837">
      <c r="A1837" s="15" t="inlineStr">
        <is>
          <t>Не привязано к кампании</t>
        </is>
      </c>
      <c r="B1837" s="16">
        <f>B$1</f>
        <v/>
      </c>
    </row>
    <row r="1838">
      <c r="A1838" s="4" t="inlineStr">
        <is>
          <t>Показы</t>
        </is>
      </c>
      <c r="B1838" s="5" t="n">
        <v>0</v>
      </c>
    </row>
    <row r="1839">
      <c r="A1839" s="4" t="inlineStr">
        <is>
          <t>Визиты</t>
        </is>
      </c>
      <c r="B1839" s="5" t="n">
        <v>0</v>
      </c>
    </row>
    <row r="1840">
      <c r="A1840" s="6" t="inlineStr">
        <is>
          <t>CTR</t>
        </is>
      </c>
      <c r="B1840" s="7">
        <f>IFERROR(B1839/B1838,0)</f>
        <v/>
      </c>
    </row>
    <row r="1841">
      <c r="A1841" s="6" t="inlineStr">
        <is>
          <t>CPC</t>
        </is>
      </c>
      <c r="B1841" s="8">
        <f>IFERROR(B1847/B1839,0)</f>
        <v/>
      </c>
    </row>
    <row r="1842">
      <c r="A1842" s="6" t="inlineStr">
        <is>
          <t>Конверсия в заявку</t>
        </is>
      </c>
      <c r="B1842" s="7">
        <f>IFERROR(B1843/B1839,0)</f>
        <v/>
      </c>
    </row>
    <row r="1843">
      <c r="A1843" s="4" t="inlineStr">
        <is>
          <t>Лид 1</t>
        </is>
      </c>
      <c r="B1843" s="5" t="n">
        <v>1</v>
      </c>
    </row>
    <row r="1844">
      <c r="A1844" s="6" t="inlineStr">
        <is>
          <t>Стоимость Лида 1</t>
        </is>
      </c>
      <c r="B1844" s="9">
        <f>IFERROR(B1847/B1843,0)</f>
        <v/>
      </c>
    </row>
    <row r="1845">
      <c r="A1845" s="4" t="inlineStr">
        <is>
          <t>Лиды 2</t>
        </is>
      </c>
      <c r="B1845" s="5" t="n">
        <v>0</v>
      </c>
    </row>
    <row r="1846">
      <c r="A1846" s="6" t="inlineStr">
        <is>
          <t>Стоимость Лида 2</t>
        </is>
      </c>
      <c r="B1846" s="9">
        <f>IFERROR(B1847/B1845,0)</f>
        <v/>
      </c>
    </row>
    <row r="1847">
      <c r="A1847" s="4" t="inlineStr">
        <is>
          <t>Рекламный бюджет</t>
        </is>
      </c>
      <c r="B1847" s="10" t="n">
        <v>0</v>
      </c>
    </row>
    <row r="1848">
      <c r="A1848" s="4" t="inlineStr">
        <is>
          <t>Лиды 3</t>
        </is>
      </c>
      <c r="B1848" s="5" t="n">
        <v>0</v>
      </c>
    </row>
    <row r="1849">
      <c r="A1849" s="6" t="inlineStr">
        <is>
          <t>Стоимость Лида 3</t>
        </is>
      </c>
      <c r="B1849" s="9">
        <f>IFERROR(B1847/B1848,0)</f>
        <v/>
      </c>
    </row>
    <row r="1850">
      <c r="A1850" s="4" t="inlineStr">
        <is>
          <t>ВП</t>
        </is>
      </c>
      <c r="B1850" s="10" t="n">
        <v>0</v>
      </c>
    </row>
    <row r="1851">
      <c r="A1851" s="4" t="inlineStr">
        <is>
          <t>Продажи</t>
        </is>
      </c>
      <c r="B1851" s="5" t="n">
        <v>0</v>
      </c>
    </row>
    <row r="1852">
      <c r="A1852" s="6" t="inlineStr">
        <is>
          <t>Средний чек</t>
        </is>
      </c>
      <c r="B1852" s="9">
        <f>IFERROR(B1850/B1851,0)</f>
        <v/>
      </c>
    </row>
    <row r="1855">
      <c r="A1855" s="13" t="inlineStr">
        <is>
          <t>DIZEL-COMPRESSOR.RU</t>
        </is>
      </c>
      <c r="B1855" s="14" t="n"/>
    </row>
    <row r="1856">
      <c r="A1856" s="15" t="inlineStr">
        <is>
          <t>Общие</t>
        </is>
      </c>
      <c r="B1856" s="16">
        <f>B$1</f>
        <v/>
      </c>
    </row>
    <row r="1857">
      <c r="A1857" s="4" t="inlineStr">
        <is>
          <t>Показы</t>
        </is>
      </c>
      <c r="B1857" s="5">
        <f>B1877</f>
        <v/>
      </c>
    </row>
    <row r="1858">
      <c r="A1858" s="4" t="inlineStr">
        <is>
          <t>Визиты</t>
        </is>
      </c>
      <c r="B1858" s="5">
        <f>B1878</f>
        <v/>
      </c>
    </row>
    <row r="1859">
      <c r="A1859" s="6" t="inlineStr">
        <is>
          <t>CTR</t>
        </is>
      </c>
      <c r="B1859" s="7">
        <f>IFERROR(B1858/B1857,0)</f>
        <v/>
      </c>
    </row>
    <row r="1860">
      <c r="A1860" s="6" t="inlineStr">
        <is>
          <t>CPC</t>
        </is>
      </c>
      <c r="B1860" s="8">
        <f>IFERROR(B1866/B1858,0)</f>
        <v/>
      </c>
    </row>
    <row r="1861">
      <c r="A1861" s="6" t="inlineStr">
        <is>
          <t>Конверсия в заявку</t>
        </is>
      </c>
      <c r="B1861" s="7">
        <f>IFERROR(B1862/B1858,0)</f>
        <v/>
      </c>
    </row>
    <row r="1862">
      <c r="A1862" s="4" t="inlineStr">
        <is>
          <t>Лид 1</t>
        </is>
      </c>
      <c r="B1862" s="5">
        <f>B1882</f>
        <v/>
      </c>
    </row>
    <row r="1863">
      <c r="A1863" s="6" t="inlineStr">
        <is>
          <t>Стоимость Лида 1</t>
        </is>
      </c>
      <c r="B1863" s="9">
        <f>IFERROR(B1866/B1862,0)</f>
        <v/>
      </c>
    </row>
    <row r="1864">
      <c r="A1864" s="4" t="inlineStr">
        <is>
          <t>Лиды 2</t>
        </is>
      </c>
      <c r="B1864" s="5">
        <f>B1884</f>
        <v/>
      </c>
    </row>
    <row r="1865">
      <c r="A1865" s="6" t="inlineStr">
        <is>
          <t>Стоимость Лида 2</t>
        </is>
      </c>
      <c r="B1865" s="9">
        <f>IFERROR(B1866/B1864,0)</f>
        <v/>
      </c>
    </row>
    <row r="1866">
      <c r="A1866" s="4" t="inlineStr">
        <is>
          <t>Рекламный бюджет</t>
        </is>
      </c>
      <c r="B1866" s="10">
        <f>B1886</f>
        <v/>
      </c>
    </row>
    <row r="1867">
      <c r="A1867" s="4" t="inlineStr">
        <is>
          <t>Лиды 3</t>
        </is>
      </c>
      <c r="B1867" s="5">
        <f>B1887</f>
        <v/>
      </c>
    </row>
    <row r="1868">
      <c r="A1868" s="6" t="inlineStr">
        <is>
          <t>Стоимость Лида 3</t>
        </is>
      </c>
      <c r="B1868" s="9">
        <f>IFERROR(B1866/B1867,0)</f>
        <v/>
      </c>
    </row>
    <row r="1869">
      <c r="A1869" s="4" t="inlineStr">
        <is>
          <t>ВП</t>
        </is>
      </c>
      <c r="B1869" s="10">
        <f>B1889</f>
        <v/>
      </c>
    </row>
    <row r="1870">
      <c r="A1870" s="4" t="inlineStr">
        <is>
          <t>Продажи</t>
        </is>
      </c>
      <c r="B1870" s="5">
        <f>B1890</f>
        <v/>
      </c>
    </row>
    <row r="1871">
      <c r="A1871" s="6" t="inlineStr">
        <is>
          <t>Средний чек</t>
        </is>
      </c>
      <c r="B1871" s="9">
        <f>IFERROR(B1869/B1870,0)</f>
        <v/>
      </c>
    </row>
    <row r="1873">
      <c r="A1873" s="11" t="inlineStr">
        <is>
          <t>Вывод по сделкам за неделю</t>
        </is>
      </c>
    </row>
    <row r="1874" ht="30" customHeight="1">
      <c r="A1874" s="12" t="inlineStr">
        <is>
          <t>Сделок за неделю не создано.</t>
        </is>
      </c>
    </row>
    <row r="1876">
      <c r="A1876" s="15" t="inlineStr">
        <is>
          <t>[РСЯ] Товарная кампания dizel-compressor.ru от 27.02.26</t>
        </is>
      </c>
      <c r="B1876" s="16">
        <f>B$1</f>
        <v/>
      </c>
    </row>
    <row r="1877">
      <c r="A1877" s="4" t="inlineStr">
        <is>
          <t>Показы</t>
        </is>
      </c>
      <c r="B1877" s="5" t="n">
        <v>0</v>
      </c>
    </row>
    <row r="1878">
      <c r="A1878" s="4" t="inlineStr">
        <is>
          <t>Визиты</t>
        </is>
      </c>
      <c r="B1878" s="5" t="n">
        <v>1</v>
      </c>
    </row>
    <row r="1879">
      <c r="A1879" s="6" t="inlineStr">
        <is>
          <t>CTR</t>
        </is>
      </c>
      <c r="B1879" s="7">
        <f>IFERROR(B1878/B1877,0)</f>
        <v/>
      </c>
    </row>
    <row r="1880">
      <c r="A1880" s="6" t="inlineStr">
        <is>
          <t>CPC</t>
        </is>
      </c>
      <c r="B1880" s="8">
        <f>IFERROR(B1886/B1878,0)</f>
        <v/>
      </c>
    </row>
    <row r="1881">
      <c r="A1881" s="6" t="inlineStr">
        <is>
          <t>Конверсия в заявку</t>
        </is>
      </c>
      <c r="B1881" s="7">
        <f>IFERROR(B1882/B1878,0)</f>
        <v/>
      </c>
    </row>
    <row r="1882">
      <c r="A1882" s="4" t="inlineStr">
        <is>
          <t>Лид 1</t>
        </is>
      </c>
      <c r="B1882" s="5" t="n">
        <v>0</v>
      </c>
    </row>
    <row r="1883">
      <c r="A1883" s="6" t="inlineStr">
        <is>
          <t>Стоимость Лида 1</t>
        </is>
      </c>
      <c r="B1883" s="9">
        <f>IFERROR(B1886/B1882,0)</f>
        <v/>
      </c>
    </row>
    <row r="1884">
      <c r="A1884" s="4" t="inlineStr">
        <is>
          <t>Лиды 2</t>
        </is>
      </c>
      <c r="B1884" s="5" t="n">
        <v>0</v>
      </c>
    </row>
    <row r="1885">
      <c r="A1885" s="6" t="inlineStr">
        <is>
          <t>Стоимость Лида 2</t>
        </is>
      </c>
      <c r="B1885" s="9">
        <f>IFERROR(B1886/B1884,0)</f>
        <v/>
      </c>
    </row>
    <row r="1886">
      <c r="A1886" s="4" t="inlineStr">
        <is>
          <t>Рекламный бюджет</t>
        </is>
      </c>
      <c r="B1886" s="10" t="n">
        <v>0</v>
      </c>
    </row>
    <row r="1887">
      <c r="A1887" s="4" t="inlineStr">
        <is>
          <t>Лиды 3</t>
        </is>
      </c>
      <c r="B1887" s="5" t="n">
        <v>0</v>
      </c>
    </row>
    <row r="1888">
      <c r="A1888" s="6" t="inlineStr">
        <is>
          <t>Стоимость Лида 3</t>
        </is>
      </c>
      <c r="B1888" s="9">
        <f>IFERROR(B1886/B1887,0)</f>
        <v/>
      </c>
    </row>
    <row r="1889">
      <c r="A1889" s="4" t="inlineStr">
        <is>
          <t>ВП</t>
        </is>
      </c>
      <c r="B1889" s="10" t="n">
        <v>0</v>
      </c>
    </row>
    <row r="1890">
      <c r="A1890" s="4" t="inlineStr">
        <is>
          <t>Продажи</t>
        </is>
      </c>
      <c r="B1890" s="5" t="n">
        <v>0</v>
      </c>
    </row>
    <row r="1891">
      <c r="A1891" s="6" t="inlineStr">
        <is>
          <t>Средний чек</t>
        </is>
      </c>
      <c r="B1891" s="9">
        <f>IFERROR(B1889/B1890,0)</f>
        <v/>
      </c>
    </row>
    <row r="1894">
      <c r="A1894" s="13" t="inlineStr">
        <is>
          <t>FINI-COMPRESSOR.COM</t>
        </is>
      </c>
      <c r="B1894" s="14" t="n"/>
    </row>
    <row r="1895">
      <c r="A1895" s="15" t="inlineStr">
        <is>
          <t>Общие</t>
        </is>
      </c>
      <c r="B1895" s="16">
        <f>B$1</f>
        <v/>
      </c>
    </row>
    <row r="1896">
      <c r="A1896" s="4" t="inlineStr">
        <is>
          <t>Показы</t>
        </is>
      </c>
      <c r="B1896" s="5">
        <f>B1916</f>
        <v/>
      </c>
    </row>
    <row r="1897">
      <c r="A1897" s="4" t="inlineStr">
        <is>
          <t>Визиты</t>
        </is>
      </c>
      <c r="B1897" s="5">
        <f>B1917</f>
        <v/>
      </c>
    </row>
    <row r="1898">
      <c r="A1898" s="6" t="inlineStr">
        <is>
          <t>CTR</t>
        </is>
      </c>
      <c r="B1898" s="7">
        <f>IFERROR(B1897/B1896,0)</f>
        <v/>
      </c>
    </row>
    <row r="1899">
      <c r="A1899" s="6" t="inlineStr">
        <is>
          <t>CPC</t>
        </is>
      </c>
      <c r="B1899" s="8">
        <f>IFERROR(B1905/B1897,0)</f>
        <v/>
      </c>
    </row>
    <row r="1900">
      <c r="A1900" s="6" t="inlineStr">
        <is>
          <t>Конверсия в заявку</t>
        </is>
      </c>
      <c r="B1900" s="7">
        <f>IFERROR(B1901/B1897,0)</f>
        <v/>
      </c>
    </row>
    <row r="1901">
      <c r="A1901" s="4" t="inlineStr">
        <is>
          <t>Лид 1</t>
        </is>
      </c>
      <c r="B1901" s="5">
        <f>B1921</f>
        <v/>
      </c>
    </row>
    <row r="1902">
      <c r="A1902" s="6" t="inlineStr">
        <is>
          <t>Стоимость Лида 1</t>
        </is>
      </c>
      <c r="B1902" s="9">
        <f>IFERROR(B1905/B1901,0)</f>
        <v/>
      </c>
    </row>
    <row r="1903">
      <c r="A1903" s="4" t="inlineStr">
        <is>
          <t>Лиды 2</t>
        </is>
      </c>
      <c r="B1903" s="5">
        <f>B1923</f>
        <v/>
      </c>
    </row>
    <row r="1904">
      <c r="A1904" s="6" t="inlineStr">
        <is>
          <t>Стоимость Лида 2</t>
        </is>
      </c>
      <c r="B1904" s="9">
        <f>IFERROR(B1905/B1903,0)</f>
        <v/>
      </c>
    </row>
    <row r="1905">
      <c r="A1905" s="4" t="inlineStr">
        <is>
          <t>Рекламный бюджет</t>
        </is>
      </c>
      <c r="B1905" s="10">
        <f>B1925</f>
        <v/>
      </c>
    </row>
    <row r="1906">
      <c r="A1906" s="4" t="inlineStr">
        <is>
          <t>Лиды 3</t>
        </is>
      </c>
      <c r="B1906" s="5">
        <f>B1926</f>
        <v/>
      </c>
    </row>
    <row r="1907">
      <c r="A1907" s="6" t="inlineStr">
        <is>
          <t>Стоимость Лида 3</t>
        </is>
      </c>
      <c r="B1907" s="9">
        <f>IFERROR(B1905/B1906,0)</f>
        <v/>
      </c>
    </row>
    <row r="1908">
      <c r="A1908" s="4" t="inlineStr">
        <is>
          <t>ВП</t>
        </is>
      </c>
      <c r="B1908" s="10">
        <f>B1928</f>
        <v/>
      </c>
    </row>
    <row r="1909">
      <c r="A1909" s="4" t="inlineStr">
        <is>
          <t>Продажи</t>
        </is>
      </c>
      <c r="B1909" s="5">
        <f>B1929</f>
        <v/>
      </c>
    </row>
    <row r="1910">
      <c r="A1910" s="6" t="inlineStr">
        <is>
          <t>Средний чек</t>
        </is>
      </c>
      <c r="B1910" s="9">
        <f>IFERROR(B1908/B1909,0)</f>
        <v/>
      </c>
    </row>
    <row r="1912">
      <c r="A1912" s="11" t="inlineStr">
        <is>
          <t>Вывод по сделкам за неделю</t>
        </is>
      </c>
    </row>
    <row r="1913" ht="30" customHeight="1">
      <c r="A1913" s="12" t="inlineStr">
        <is>
          <t>Сделок за неделю не создано.</t>
        </is>
      </c>
    </row>
    <row r="1915">
      <c r="A1915" s="15" t="inlineStr">
        <is>
          <t>Не привязано к кампании</t>
        </is>
      </c>
      <c r="B1915" s="16">
        <f>B$1</f>
        <v/>
      </c>
    </row>
    <row r="1916">
      <c r="A1916" s="4" t="inlineStr">
        <is>
          <t>Показы</t>
        </is>
      </c>
      <c r="B1916" s="5" t="n">
        <v>0</v>
      </c>
    </row>
    <row r="1917">
      <c r="A1917" s="4" t="inlineStr">
        <is>
          <t>Визиты</t>
        </is>
      </c>
      <c r="B1917" s="5" t="n">
        <v>1</v>
      </c>
    </row>
    <row r="1918">
      <c r="A1918" s="6" t="inlineStr">
        <is>
          <t>CTR</t>
        </is>
      </c>
      <c r="B1918" s="7">
        <f>IFERROR(B1917/B1916,0)</f>
        <v/>
      </c>
    </row>
    <row r="1919">
      <c r="A1919" s="6" t="inlineStr">
        <is>
          <t>CPC</t>
        </is>
      </c>
      <c r="B1919" s="8">
        <f>IFERROR(B1925/B1917,0)</f>
        <v/>
      </c>
    </row>
    <row r="1920">
      <c r="A1920" s="6" t="inlineStr">
        <is>
          <t>Конверсия в заявку</t>
        </is>
      </c>
      <c r="B1920" s="7">
        <f>IFERROR(B1921/B1917,0)</f>
        <v/>
      </c>
    </row>
    <row r="1921">
      <c r="A1921" s="4" t="inlineStr">
        <is>
          <t>Лид 1</t>
        </is>
      </c>
      <c r="B1921" s="5" t="n">
        <v>0</v>
      </c>
    </row>
    <row r="1922">
      <c r="A1922" s="6" t="inlineStr">
        <is>
          <t>Стоимость Лида 1</t>
        </is>
      </c>
      <c r="B1922" s="9">
        <f>IFERROR(B1925/B1921,0)</f>
        <v/>
      </c>
    </row>
    <row r="1923">
      <c r="A1923" s="4" t="inlineStr">
        <is>
          <t>Лиды 2</t>
        </is>
      </c>
      <c r="B1923" s="5" t="n">
        <v>0</v>
      </c>
    </row>
    <row r="1924">
      <c r="A1924" s="6" t="inlineStr">
        <is>
          <t>Стоимость Лида 2</t>
        </is>
      </c>
      <c r="B1924" s="9">
        <f>IFERROR(B1925/B1923,0)</f>
        <v/>
      </c>
    </row>
    <row r="1925">
      <c r="A1925" s="4" t="inlineStr">
        <is>
          <t>Рекламный бюджет</t>
        </is>
      </c>
      <c r="B1925" s="10" t="n">
        <v>0</v>
      </c>
    </row>
    <row r="1926">
      <c r="A1926" s="4" t="inlineStr">
        <is>
          <t>Лиды 3</t>
        </is>
      </c>
      <c r="B1926" s="5" t="n">
        <v>0</v>
      </c>
    </row>
    <row r="1927">
      <c r="A1927" s="6" t="inlineStr">
        <is>
          <t>Стоимость Лида 3</t>
        </is>
      </c>
      <c r="B1927" s="9">
        <f>IFERROR(B1925/B1926,0)</f>
        <v/>
      </c>
    </row>
    <row r="1928">
      <c r="A1928" s="4" t="inlineStr">
        <is>
          <t>ВП</t>
        </is>
      </c>
      <c r="B1928" s="10" t="n">
        <v>0</v>
      </c>
    </row>
    <row r="1929">
      <c r="A1929" s="4" t="inlineStr">
        <is>
          <t>Продажи</t>
        </is>
      </c>
      <c r="B1929" s="5" t="n">
        <v>0</v>
      </c>
    </row>
    <row r="1930">
      <c r="A1930" s="6" t="inlineStr">
        <is>
          <t>Средний чек</t>
        </is>
      </c>
      <c r="B1930" s="9">
        <f>IFERROR(B1928/B1929,0)</f>
        <v/>
      </c>
    </row>
  </sheetData>
  <mergeCells count="32">
    <mergeCell ref="A1913:B1913"/>
    <mergeCell ref="A692:B692"/>
    <mergeCell ref="A1149:B1149"/>
    <mergeCell ref="A691:B691"/>
    <mergeCell ref="A1581:B1581"/>
    <mergeCell ref="A1148:B1148"/>
    <mergeCell ref="A900:B900"/>
    <mergeCell ref="A1689:B1689"/>
    <mergeCell ref="A1256:B1256"/>
    <mergeCell ref="A1346:B1346"/>
    <mergeCell ref="A1508:B1508"/>
    <mergeCell ref="A41:B41"/>
    <mergeCell ref="A1007:B1007"/>
    <mergeCell ref="A1582:B1582"/>
    <mergeCell ref="A1345:B1345"/>
    <mergeCell ref="A1436:B1436"/>
    <mergeCell ref="A1817:B1817"/>
    <mergeCell ref="A1435:B1435"/>
    <mergeCell ref="A1509:B1509"/>
    <mergeCell ref="A1008:B1008"/>
    <mergeCell ref="A1912:B1912"/>
    <mergeCell ref="A1818:B1818"/>
    <mergeCell ref="A1688:B1688"/>
    <mergeCell ref="A20:B20"/>
    <mergeCell ref="A1874:B1874"/>
    <mergeCell ref="A19:B19"/>
    <mergeCell ref="A1762:B1762"/>
    <mergeCell ref="A901:B901"/>
    <mergeCell ref="A1761:B1761"/>
    <mergeCell ref="A1255:B1255"/>
    <mergeCell ref="A40:B40"/>
    <mergeCell ref="A1873:B1873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2" customWidth="1" min="3" max="3"/>
    <col width="34" customWidth="1" min="4" max="4"/>
    <col width="11" customWidth="1" min="5" max="5"/>
    <col width="18" customWidth="1" min="6" max="6"/>
    <col width="42" customWidth="1" min="7" max="7"/>
    <col width="12" customWidth="1" min="8" max="8"/>
    <col width="14" customWidth="1" min="9" max="9"/>
    <col width="10" customWidth="1" min="10" max="10"/>
    <col width="24" customWidth="1" min="11" max="11"/>
    <col width="22" customWidth="1" min="12" max="12"/>
    <col width="26" customWidth="1" min="13" max="13"/>
    <col width="40" customWidth="1" min="14" max="14"/>
    <col width="26" customWidth="1" min="15" max="15"/>
  </cols>
  <sheetData>
    <row r="1">
      <c r="A1" s="17" t="inlineStr">
        <is>
          <t>ID сделки</t>
        </is>
      </c>
      <c r="B1" s="17" t="inlineStr">
        <is>
          <t>Название</t>
        </is>
      </c>
      <c r="C1" s="17" t="inlineStr">
        <is>
          <t>Сайт</t>
        </is>
      </c>
      <c r="D1" s="17" t="inlineStr">
        <is>
          <t>РК</t>
        </is>
      </c>
      <c r="E1" s="17" t="inlineStr">
        <is>
          <t>Поиск/РСЯ</t>
        </is>
      </c>
      <c r="F1" s="17" t="inlineStr">
        <is>
          <t>Дата создания</t>
        </is>
      </c>
      <c r="G1" s="17" t="inlineStr">
        <is>
          <t>Текущий статус</t>
        </is>
      </c>
      <c r="H1" s="17" t="inlineStr">
        <is>
          <t>Категория</t>
        </is>
      </c>
      <c r="I1" s="17" t="inlineStr">
        <is>
          <t>Сумма сделки</t>
        </is>
      </c>
      <c r="J1" s="17" t="inlineStr">
        <is>
          <t>Мощность</t>
        </is>
      </c>
      <c r="K1" s="17" t="inlineStr">
        <is>
          <t>Группа мощности</t>
        </is>
      </c>
      <c r="L1" s="17" t="inlineStr">
        <is>
          <t>Тип оборудования</t>
        </is>
      </c>
      <c r="M1" s="17" t="inlineStr">
        <is>
          <t>Источник проверки</t>
        </is>
      </c>
      <c r="N1" s="17" t="inlineStr">
        <is>
          <t>Причина провала</t>
        </is>
      </c>
      <c r="O1" s="17" t="inlineStr">
        <is>
          <t>Ответственный</t>
        </is>
      </c>
    </row>
    <row r="2">
      <c r="A2" s="18" t="inlineStr">
        <is>
          <t>deal_154044</t>
        </is>
      </c>
      <c r="B2" s="19" t="inlineStr">
        <is>
          <t>Сусуманзолото, заклинил Ремеза ВК50-13, Магадан</t>
        </is>
      </c>
      <c r="C2" s="18" t="inlineStr">
        <is>
          <t>remeza-kompressor.ru</t>
        </is>
      </c>
      <c r="D2" s="18" t="inlineStr">
        <is>
          <t>[Товарка] remeza-kompressor.ru от 03.06.26</t>
        </is>
      </c>
      <c r="E2" s="18" t="inlineStr">
        <is>
          <t>Поиск</t>
        </is>
      </c>
      <c r="F2" s="18" t="inlineStr">
        <is>
          <t>2026-08-24 06:22:47</t>
        </is>
      </c>
      <c r="G2" s="19" t="inlineStr">
        <is>
          <t>КП направлено через В2В. Назначить срок согласования. (Общее) (Сделки)</t>
        </is>
      </c>
      <c r="H2" s="18" t="inlineStr">
        <is>
          <t>в работе</t>
        </is>
      </c>
      <c r="I2" s="20" t="n">
        <v>923000</v>
      </c>
      <c r="J2" s="18" t="inlineStr">
        <is>
          <t>37</t>
        </is>
      </c>
      <c r="K2" s="18" t="inlineStr">
        <is>
          <t>до 37 Кв включительно</t>
        </is>
      </c>
      <c r="L2" s="18" t="inlineStr">
        <is>
          <t>винтовой компрессор</t>
        </is>
      </c>
      <c r="M2" s="18" t="inlineStr">
        <is>
          <t>Сайт remeza-kompressor.ru</t>
        </is>
      </c>
      <c r="N2" s="19" t="inlineStr">
        <is>
          <t>—</t>
        </is>
      </c>
      <c r="O2" s="18" t="inlineStr">
        <is>
          <t>Балакирев Антон Сергеевич</t>
        </is>
      </c>
    </row>
    <row r="3">
      <c r="A3" s="18" t="inlineStr">
        <is>
          <t>deal_154020</t>
        </is>
      </c>
      <c r="B3" s="19" t="inlineStr">
        <is>
          <t>ЭНЕРГОПРОГРЕСС ООО (подрядчик); МЕРКАТОР КАЛУГА ООО 4028043403 (конечник) - Пневмолиния (15 кВт)</t>
        </is>
      </c>
      <c r="C3" s="18" t="inlineStr">
        <is>
          <t>ekomak-kompressor.com</t>
        </is>
      </c>
      <c r="D3" s="18" t="inlineStr">
        <is>
          <t>[Поиск] Бренд и модели Ekomak</t>
        </is>
      </c>
      <c r="E3" s="18" t="inlineStr">
        <is>
          <t>Поиск</t>
        </is>
      </c>
      <c r="F3" s="18" t="inlineStr">
        <is>
          <t>2026-08-24 08:46:11</t>
        </is>
      </c>
      <c r="G3" s="19" t="inlineStr">
        <is>
          <t>Согласовать КП (Общее) (Сделки)</t>
        </is>
      </c>
      <c r="H3" s="18" t="inlineStr">
        <is>
          <t>в работе</t>
        </is>
      </c>
      <c r="I3" s="20" t="n">
        <v>1887100</v>
      </c>
      <c r="J3" s="18" t="inlineStr">
        <is>
          <t>15</t>
        </is>
      </c>
      <c r="K3" s="18" t="inlineStr">
        <is>
          <t>до 37 Кв включительно</t>
        </is>
      </c>
      <c r="L3" s="18" t="inlineStr">
        <is>
          <t>винтовой компрессор</t>
        </is>
      </c>
      <c r="M3" s="18" t="inlineStr">
        <is>
          <t>Сайт ekomak-kompressor.com</t>
        </is>
      </c>
      <c r="N3" s="19" t="inlineStr">
        <is>
          <t>—</t>
        </is>
      </c>
      <c r="O3" s="18" t="inlineStr">
        <is>
          <t>Прохоров Вячеслав Александрович</t>
        </is>
      </c>
    </row>
    <row r="4">
      <c r="A4" s="18" t="inlineStr">
        <is>
          <t>deal_154036</t>
        </is>
      </c>
      <c r="B4" s="19" t="inlineStr">
        <is>
          <t>РИФ ООО - Компрессор (7,5 кВт)</t>
        </is>
      </c>
      <c r="C4" s="18" t="inlineStr">
        <is>
          <t>berg-compressor.com</t>
        </is>
      </c>
      <c r="D4" s="18" t="inlineStr">
        <is>
          <t>Товарная кампания berg-compressor.com от 25.12.25</t>
        </is>
      </c>
      <c r="E4" s="18" t="inlineStr">
        <is>
          <t>Поиск</t>
        </is>
      </c>
      <c r="F4" s="18" t="inlineStr">
        <is>
          <t>2026-08-24 10:49:32</t>
        </is>
      </c>
      <c r="G4" s="19" t="inlineStr">
        <is>
          <t>Согласовать КП (Общее) (Сделки)</t>
        </is>
      </c>
      <c r="H4" s="18" t="inlineStr">
        <is>
          <t>в работе</t>
        </is>
      </c>
      <c r="I4" s="20" t="n">
        <v>876700</v>
      </c>
      <c r="J4" s="18" t="inlineStr">
        <is>
          <t>7,5</t>
        </is>
      </c>
      <c r="K4" s="18" t="inlineStr">
        <is>
          <t>до 37 Кв включительно</t>
        </is>
      </c>
      <c r="L4" s="18" t="inlineStr">
        <is>
          <t>винтовой компрессор</t>
        </is>
      </c>
      <c r="M4" s="18" t="inlineStr">
        <is>
          <t>Сайт prokompressor.ru</t>
        </is>
      </c>
      <c r="N4" s="19" t="inlineStr">
        <is>
          <t>Дубль. Такой лид/сделка уже есть</t>
        </is>
      </c>
      <c r="O4" s="18" t="inlineStr">
        <is>
          <t>Прохоров Вячеслав Александрович</t>
        </is>
      </c>
    </row>
    <row r="5">
      <c r="A5" s="18" t="inlineStr">
        <is>
          <t>deal_154042</t>
        </is>
      </c>
      <c r="B5" s="19" t="inlineStr">
        <is>
          <t>Старатели-Новоспасское - 75 квт 8 бар</t>
        </is>
      </c>
      <c r="C5" s="18" t="inlineStr">
        <is>
          <t>berg-kompressor.ru</t>
        </is>
      </c>
      <c r="D5" s="18" t="inlineStr">
        <is>
          <t>Товарная кампания berg.ru от 10.08.26</t>
        </is>
      </c>
      <c r="E5" s="18" t="inlineStr">
        <is>
          <t>РСЯ</t>
        </is>
      </c>
      <c r="F5" s="18" t="inlineStr">
        <is>
          <t>2026-08-24 11:14:08</t>
        </is>
      </c>
      <c r="G5" s="19" t="inlineStr">
        <is>
          <t>Отправить счёт, подписать договор, получить предоплату (Общее) (Сделки)</t>
        </is>
      </c>
      <c r="H5" s="18" t="inlineStr">
        <is>
          <t>в работе</t>
        </is>
      </c>
      <c r="I5" s="20" t="n">
        <v>889992.1663</v>
      </c>
      <c r="J5" s="18" t="inlineStr">
        <is>
          <t>75</t>
        </is>
      </c>
      <c r="K5" s="18" t="inlineStr">
        <is>
          <t>от 45 Кв и выше</t>
        </is>
      </c>
      <c r="L5" s="18" t="inlineStr">
        <is>
          <t>винтовой компрессор</t>
        </is>
      </c>
      <c r="M5" s="18" t="inlineStr">
        <is>
          <t>Сайт berg-kompressor.ru</t>
        </is>
      </c>
      <c r="N5" s="19" t="inlineStr">
        <is>
          <t>—</t>
        </is>
      </c>
      <c r="O5" s="18" t="inlineStr">
        <is>
          <t>Новосельцев Павел Владимирович</t>
        </is>
      </c>
    </row>
    <row r="6">
      <c r="A6" s="18" t="inlineStr">
        <is>
          <t>deal_154066</t>
        </is>
      </c>
      <c r="B6" s="19" t="inlineStr">
        <is>
          <t>ТОРУС ООО для 5404169523 ООО "КДК"</t>
        </is>
      </c>
      <c r="C6" s="18" t="inlineStr">
        <is>
          <t>ironmac-compressor.com</t>
        </is>
      </c>
      <c r="D6" s="18" t="inlineStr">
        <is>
          <t>[Поиск] Бренд и модели</t>
        </is>
      </c>
      <c r="E6" s="18" t="inlineStr">
        <is>
          <t>Поиск</t>
        </is>
      </c>
      <c r="F6" s="18" t="inlineStr">
        <is>
          <t>2026-08-24 11:20:15</t>
        </is>
      </c>
      <c r="G6" s="19" t="inlineStr">
        <is>
          <t>КП направлено через В2В. Назначить срок согласования. (Общее) (Сделки)</t>
        </is>
      </c>
      <c r="H6" s="18" t="inlineStr">
        <is>
          <t>в работе</t>
        </is>
      </c>
      <c r="I6" s="20" t="n">
        <v>941819.26</v>
      </c>
      <c r="J6" s="18" t="inlineStr">
        <is>
          <t>15</t>
        </is>
      </c>
      <c r="K6" s="18" t="inlineStr">
        <is>
          <t>до 37 Кв включительно</t>
        </is>
      </c>
      <c r="L6" s="18" t="inlineStr">
        <is>
          <t>винтовой компрессор</t>
        </is>
      </c>
      <c r="M6" s="18" t="inlineStr">
        <is>
          <t>Сайт ironmac-compressor.com</t>
        </is>
      </c>
      <c r="N6" s="19" t="inlineStr">
        <is>
          <t>—</t>
        </is>
      </c>
      <c r="O6" s="18" t="inlineStr">
        <is>
          <t>Питерцев Александр Владимирович</t>
        </is>
      </c>
    </row>
    <row r="7">
      <c r="A7" s="18" t="inlineStr">
        <is>
          <t>deal_154058</t>
        </is>
      </c>
      <c r="B7" s="19" t="inlineStr">
        <is>
          <t>СТРОЙКОМФОРТ ООО - Компрессор (11 кВт)</t>
        </is>
      </c>
      <c r="C7" s="18" t="inlineStr">
        <is>
          <t>berg-compressor.com</t>
        </is>
      </c>
      <c r="D7" s="18" t="inlineStr">
        <is>
          <t>[Поиск] Бренд</t>
        </is>
      </c>
      <c r="E7" s="18" t="inlineStr">
        <is>
          <t>Поиск</t>
        </is>
      </c>
      <c r="F7" s="18" t="inlineStr">
        <is>
          <t>2026-08-24 11:48:22</t>
        </is>
      </c>
      <c r="G7" s="19" t="inlineStr">
        <is>
          <t>Провалена, на проверке РОП (Общее) (Сделки)</t>
        </is>
      </c>
      <c r="H7" s="18" t="inlineStr">
        <is>
          <t>провалена</t>
        </is>
      </c>
      <c r="I7" s="20" t="n">
        <v>2252440</v>
      </c>
      <c r="J7" s="18" t="inlineStr">
        <is>
          <t>11</t>
        </is>
      </c>
      <c r="K7" s="18" t="inlineStr">
        <is>
          <t>до 37 Кв включительно</t>
        </is>
      </c>
      <c r="L7" s="18" t="inlineStr">
        <is>
          <t>винтовой компрессор</t>
        </is>
      </c>
      <c r="M7" s="18" t="inlineStr">
        <is>
          <t>Сайт berg-compressor.com</t>
        </is>
      </c>
      <c r="N7" s="19" t="inlineStr">
        <is>
          <t>- Мониторинг цен без цели покупки | Запросил КП и с первого же звонка начал сливаться, говорить ему неудобно и тд., что сам свяжется. Напрямую спросил, вопрос еще актуален, говорит пока нет, просто КП запросил и все. Закрываю, перспективы не вижу.</t>
        </is>
      </c>
      <c r="O7" s="18" t="inlineStr">
        <is>
          <t>Прохоров Вячеслав Александрович</t>
        </is>
      </c>
    </row>
    <row r="8">
      <c r="A8" s="18" t="inlineStr">
        <is>
          <t>deal_154114</t>
        </is>
      </c>
      <c r="B8" s="19" t="inlineStr">
        <is>
          <t>ЮНИ-ВЕЛД  15 кВт 16 сборка Киров  ТОРГ</t>
        </is>
      </c>
      <c r="C8" s="18" t="inlineStr">
        <is>
          <t>remeza-kompressor.ru</t>
        </is>
      </c>
      <c r="D8" s="18" t="inlineStr">
        <is>
          <t>[Товарка] remeza-kompressor.ru от 03.06.26</t>
        </is>
      </c>
      <c r="E8" s="18" t="inlineStr">
        <is>
          <t>Поиск</t>
        </is>
      </c>
      <c r="F8" s="18" t="inlineStr">
        <is>
          <t>2026-08-24 16:03:41</t>
        </is>
      </c>
      <c r="G8" s="19" t="inlineStr">
        <is>
          <t>Согласовать КП (Общее) (Сделки)</t>
        </is>
      </c>
      <c r="H8" s="18" t="inlineStr">
        <is>
          <t>в работе</t>
        </is>
      </c>
      <c r="I8" s="20" t="n">
        <v>1865480</v>
      </c>
      <c r="J8" s="18" t="inlineStr">
        <is>
          <t>15</t>
        </is>
      </c>
      <c r="K8" s="18" t="inlineStr">
        <is>
          <t>до 37 Кв включительно</t>
        </is>
      </c>
      <c r="L8" s="18" t="inlineStr">
        <is>
          <t>винтовой компрессор</t>
        </is>
      </c>
      <c r="M8" s="18" t="inlineStr">
        <is>
          <t>Сайт remeza-kompressor.ru</t>
        </is>
      </c>
      <c r="N8" s="19" t="inlineStr">
        <is>
          <t>—</t>
        </is>
      </c>
      <c r="O8" s="18" t="inlineStr">
        <is>
          <t>Павлов Максим Геннадьевич</t>
        </is>
      </c>
    </row>
    <row r="9">
      <c r="A9" s="18" t="inlineStr">
        <is>
          <t>deal_154398</t>
        </is>
      </c>
      <c r="B9" s="19" t="inlineStr">
        <is>
          <t>ГБУ СП № 4 Компрессор Remeza СБ4/C-270.OLD30x3-4шт</t>
        </is>
      </c>
      <c r="C9" s="18" t="inlineStr">
        <is>
          <t>remeza-kompressor.ru</t>
        </is>
      </c>
      <c r="D9" s="18" t="inlineStr">
        <is>
          <t>[МК] КВИЗ</t>
        </is>
      </c>
      <c r="E9" s="18" t="inlineStr">
        <is>
          <t>РСЯ</t>
        </is>
      </c>
      <c r="F9" s="18" t="inlineStr">
        <is>
          <t>2026-08-24 17:58:38</t>
        </is>
      </c>
      <c r="G9" s="19" t="inlineStr">
        <is>
          <t>Согласовать КП (Общее) (Сделки)</t>
        </is>
      </c>
      <c r="H9" s="18" t="inlineStr">
        <is>
          <t>в работе</t>
        </is>
      </c>
      <c r="I9" s="20" t="n">
        <v>496000</v>
      </c>
      <c r="J9" s="18" t="inlineStr">
        <is>
          <t>5,5</t>
        </is>
      </c>
      <c r="K9" s="18" t="inlineStr">
        <is>
          <t>до 37 Кв включительно</t>
        </is>
      </c>
      <c r="L9" s="18" t="inlineStr">
        <is>
          <t>винтовой компрессор</t>
        </is>
      </c>
      <c r="M9" s="18" t="inlineStr">
        <is>
          <t>Сайт remeza-kompressor.ru</t>
        </is>
      </c>
      <c r="N9" s="19" t="inlineStr">
        <is>
          <t>—</t>
        </is>
      </c>
      <c r="O9" s="18" t="inlineStr">
        <is>
          <t>Дмитриев Александр Павлович</t>
        </is>
      </c>
    </row>
    <row r="10">
      <c r="A10" s="18" t="inlineStr">
        <is>
          <t>deal_154293</t>
        </is>
      </c>
      <c r="B10" s="19" t="inlineStr">
        <is>
          <t>Садпромторг ООО 15 квт 2 шт сборки</t>
        </is>
      </c>
      <c r="C10" s="18" t="inlineStr">
        <is>
          <t>enger-air.ru</t>
        </is>
      </c>
      <c r="D10" s="18" t="inlineStr">
        <is>
          <t>Enger общий (запрос Enger)</t>
        </is>
      </c>
      <c r="E10" s="18" t="inlineStr">
        <is>
          <t>Поиск</t>
        </is>
      </c>
      <c r="F10" s="18" t="inlineStr">
        <is>
          <t>2026-08-25 10:49:03</t>
        </is>
      </c>
      <c r="G10" s="19" t="inlineStr">
        <is>
          <t>Согласовать КП (Общее) (Сделки)</t>
        </is>
      </c>
      <c r="H10" s="18" t="inlineStr">
        <is>
          <t>в работе</t>
        </is>
      </c>
      <c r="I10" s="20" t="n">
        <v>1026675</v>
      </c>
      <c r="J10" s="18" t="inlineStr">
        <is>
          <t>15</t>
        </is>
      </c>
      <c r="K10" s="18" t="inlineStr">
        <is>
          <t>до 37 Кв включительно</t>
        </is>
      </c>
      <c r="L10" s="18" t="inlineStr">
        <is>
          <t>винтовой компрессор</t>
        </is>
      </c>
      <c r="M10" s="18" t="inlineStr">
        <is>
          <t>Сайт enger-air.ru</t>
        </is>
      </c>
      <c r="N10" s="19" t="inlineStr">
        <is>
          <t>—</t>
        </is>
      </c>
      <c r="O10" s="18" t="inlineStr">
        <is>
          <t>Яшин Кирилл Борисович</t>
        </is>
      </c>
    </row>
    <row r="11">
      <c r="A11" s="18" t="inlineStr">
        <is>
          <t>deal_154218</t>
        </is>
      </c>
      <c r="B11" s="19" t="inlineStr">
        <is>
          <t>НПФ "Протера" - 15 квт</t>
        </is>
      </c>
      <c r="C11" s="18" t="inlineStr">
        <is>
          <t>prokompressor.ru</t>
        </is>
      </c>
      <c r="D11" s="18" t="inlineStr">
        <is>
          <t>[Поиск] - Горячие запросы общие</t>
        </is>
      </c>
      <c r="E11" s="18" t="inlineStr">
        <is>
          <t>Поиск</t>
        </is>
      </c>
      <c r="F11" s="18" t="inlineStr">
        <is>
          <t>2026-08-25 11:44:29</t>
        </is>
      </c>
      <c r="G11" s="19" t="inlineStr">
        <is>
          <t>Подготовить КП, отправить клиенту (Общее) (Сделки)</t>
        </is>
      </c>
      <c r="H11" s="18" t="inlineStr">
        <is>
          <t>в работе</t>
        </is>
      </c>
      <c r="I11" s="20" t="n">
        <v>269990</v>
      </c>
      <c r="J11" s="18" t="inlineStr">
        <is>
          <t>15</t>
        </is>
      </c>
      <c r="K11" s="18" t="inlineStr">
        <is>
          <t>до 37 Кв включительно</t>
        </is>
      </c>
      <c r="L11" s="18" t="inlineStr">
        <is>
          <t>винтовой компрессор</t>
        </is>
      </c>
      <c r="M11" s="18" t="inlineStr">
        <is>
          <t>Сайт prokompressor.ru</t>
        </is>
      </c>
      <c r="N11" s="19" t="inlineStr">
        <is>
          <t>—</t>
        </is>
      </c>
      <c r="O11" s="18" t="inlineStr">
        <is>
          <t>Новосельцев Павел Владимирович</t>
        </is>
      </c>
    </row>
    <row r="12">
      <c r="A12" s="18" t="inlineStr">
        <is>
          <t>deal_154248</t>
        </is>
      </c>
      <c r="B12" s="19" t="inlineStr">
        <is>
          <t>Пятовский Сергей Васильевич Г. Аппатит. 15,-10</t>
        </is>
      </c>
      <c r="C12" s="18" t="inlineStr">
        <is>
          <t>berg-compressor.com</t>
        </is>
      </c>
      <c r="D12" s="18" t="inlineStr">
        <is>
          <t>[МК] Квиз от 20.08.26</t>
        </is>
      </c>
      <c r="E12" s="18" t="inlineStr">
        <is>
          <t>РСЯ</t>
        </is>
      </c>
      <c r="F12" s="18" t="inlineStr">
        <is>
          <t>2026-08-25 13:02:20</t>
        </is>
      </c>
      <c r="G12" s="19" t="inlineStr">
        <is>
          <t>Провалена, на проверке РОП (Общее) (Сделки)</t>
        </is>
      </c>
      <c r="H12" s="18" t="inlineStr">
        <is>
          <t>провалена</t>
        </is>
      </c>
      <c r="I12" s="20" t="n">
        <v>869074</v>
      </c>
      <c r="J12" s="18" t="inlineStr">
        <is>
          <t>22</t>
        </is>
      </c>
      <c r="K12" s="18" t="inlineStr">
        <is>
          <t>до 37 Кв включительно</t>
        </is>
      </c>
      <c r="L12" s="18" t="inlineStr">
        <is>
          <t>винтовой компрессор</t>
        </is>
      </c>
      <c r="M12" s="18" t="inlineStr">
        <is>
          <t>Сайт berg-compressor.com</t>
        </is>
      </c>
      <c r="N12" s="19" t="inlineStr">
        <is>
          <t>- Купили у конкурентов не забронированный нами бренд | Как и хотел купил этот нордберг. Хотел его т.к. на нем работал. Трубки не брал вообще, дозвонился с личного кое-как.</t>
        </is>
      </c>
      <c r="O12" s="18" t="inlineStr">
        <is>
          <t>Цейзер Олег Владимирович</t>
        </is>
      </c>
    </row>
    <row r="13">
      <c r="A13" s="18" t="inlineStr">
        <is>
          <t>deal_154303</t>
        </is>
      </c>
      <c r="B13" s="19" t="inlineStr">
        <is>
          <t>Васильев Анатолий Борисович ИП кубовик</t>
        </is>
      </c>
      <c r="C13" s="18" t="inlineStr">
        <is>
          <t>ironmac-compressor.com</t>
        </is>
      </c>
      <c r="D13" s="18" t="inlineStr">
        <is>
          <t>Не привязано к кампании</t>
        </is>
      </c>
      <c r="E13" s="18" t="inlineStr">
        <is>
          <t>—</t>
        </is>
      </c>
      <c r="F13" s="18" t="inlineStr">
        <is>
          <t>2026-08-25 16:34:19</t>
        </is>
      </c>
      <c r="G13" s="19" t="inlineStr">
        <is>
          <t>Доставить заказ (Общее) (Сделки)</t>
        </is>
      </c>
      <c r="H13" s="18" t="inlineStr">
        <is>
          <t>успешная</t>
        </is>
      </c>
      <c r="I13" s="20" t="n">
        <v>165810</v>
      </c>
      <c r="J13" s="18" t="inlineStr">
        <is>
          <t>7,5</t>
        </is>
      </c>
      <c r="K13" s="18" t="inlineStr">
        <is>
          <t>до 37 Кв включительно</t>
        </is>
      </c>
      <c r="L13" s="18" t="inlineStr">
        <is>
          <t>винтовой компрессор</t>
        </is>
      </c>
      <c r="M13" s="18" t="inlineStr">
        <is>
          <t>Сайт ironmac-compressor.com</t>
        </is>
      </c>
      <c r="N13" s="19" t="inlineStr">
        <is>
          <t>—</t>
        </is>
      </c>
      <c r="O13" s="18" t="inlineStr">
        <is>
          <t>Яшин Кирилл Борисович</t>
        </is>
      </c>
    </row>
    <row r="14">
      <c r="A14" s="18" t="inlineStr">
        <is>
          <t>deal_154334</t>
        </is>
      </c>
      <c r="B14" s="19" t="inlineStr">
        <is>
          <t>КДВ КРАСНОДАР ООО - Воздуходувка</t>
        </is>
      </c>
      <c r="C14" s="18" t="inlineStr">
        <is>
          <t>prokompressor.ru</t>
        </is>
      </c>
      <c r="D14" s="18" t="inlineStr">
        <is>
          <t>[Поиск] - Горячие запросы общие</t>
        </is>
      </c>
      <c r="E14" s="18" t="inlineStr">
        <is>
          <t>Поиск</t>
        </is>
      </c>
      <c r="F14" s="18" t="inlineStr">
        <is>
          <t>2026-08-26 09:03:54</t>
        </is>
      </c>
      <c r="G14" s="19" t="inlineStr">
        <is>
          <t>КП направлено через В2В. Назначить срок согласования. (Общее) (Сделки)</t>
        </is>
      </c>
      <c r="H14" s="18" t="inlineStr">
        <is>
          <t>в работе</t>
        </is>
      </c>
      <c r="I14" s="20" t="n">
        <v>297560</v>
      </c>
      <c r="J14" s="18" t="inlineStr">
        <is>
          <t>15</t>
        </is>
      </c>
      <c r="K14" s="18" t="inlineStr">
        <is>
          <t>до 37 Кв включительно</t>
        </is>
      </c>
      <c r="L14" s="18" t="inlineStr">
        <is>
          <t>воздуходувка</t>
        </is>
      </c>
      <c r="M14" s="18" t="inlineStr">
        <is>
          <t>Сайт prokompressor.ru</t>
        </is>
      </c>
      <c r="N14" s="19" t="inlineStr">
        <is>
          <t>Дубль. Такой лид/сделка уже есть</t>
        </is>
      </c>
      <c r="O14" s="18" t="inlineStr">
        <is>
          <t>Прохоров Вячеслав Александрович</t>
        </is>
      </c>
    </row>
    <row r="15">
      <c r="A15" s="18" t="inlineStr">
        <is>
          <t>deal_154360</t>
        </is>
      </c>
      <c r="B15" s="19" t="inlineStr">
        <is>
          <t>Премиум Поставка ООО (перекуп); РАДИОФИЗИКА ПАО 7733022671 (конечник) - Компрессор (11 кВт)</t>
        </is>
      </c>
      <c r="C15" s="18" t="inlineStr">
        <is>
          <t>crossair-compressor.ru</t>
        </is>
      </c>
      <c r="D15" s="18" t="inlineStr">
        <is>
          <t>[Поиск] Cross Air бренд без моделей</t>
        </is>
      </c>
      <c r="E15" s="18" t="inlineStr">
        <is>
          <t>Поиск</t>
        </is>
      </c>
      <c r="F15" s="18" t="inlineStr">
        <is>
          <t>2026-08-26 11:55:54</t>
        </is>
      </c>
      <c r="G15" s="19" t="inlineStr">
        <is>
          <t>Провалена, на проверке РОП (Общее) (Сделки)</t>
        </is>
      </c>
      <c r="H15" s="18" t="inlineStr">
        <is>
          <t>провалена</t>
        </is>
      </c>
      <c r="I15" s="20" t="n">
        <v>0</v>
      </c>
      <c r="J15" s="18" t="inlineStr">
        <is>
          <t>11</t>
        </is>
      </c>
      <c r="K15" s="18" t="inlineStr">
        <is>
          <t>до 37 Кв включительно</t>
        </is>
      </c>
      <c r="L15" s="18" t="inlineStr">
        <is>
          <t>винтовой компрессор</t>
        </is>
      </c>
      <c r="M15" s="18" t="inlineStr">
        <is>
          <t>Сайт crossair-compressor.ru</t>
        </is>
      </c>
      <c r="N15" s="19" t="inlineStr">
        <is>
          <t>- Торгующая организация, наше предложение не конкурентно | Перекуп, только Кросс Аир, бронь не за нами</t>
        </is>
      </c>
      <c r="O15" s="18" t="inlineStr">
        <is>
          <t>Прохоров Вячеслав Александрович</t>
        </is>
      </c>
    </row>
    <row r="16">
      <c r="A16" s="18" t="inlineStr">
        <is>
          <t>deal_154365</t>
        </is>
      </c>
      <c r="B16" s="19" t="inlineStr">
        <is>
          <t>Ньютех - дизель 5 м3 7 бар</t>
        </is>
      </c>
      <c r="C16" s="18" t="inlineStr">
        <is>
          <t>ac-kompressor.ru</t>
        </is>
      </c>
      <c r="D16" s="18" t="inlineStr">
        <is>
          <t>[Поиск] Бренд и модели</t>
        </is>
      </c>
      <c r="E16" s="18" t="inlineStr">
        <is>
          <t>Поиск</t>
        </is>
      </c>
      <c r="F16" s="18" t="inlineStr">
        <is>
          <t>2026-08-26 12:16:41</t>
        </is>
      </c>
      <c r="G16" s="19" t="inlineStr">
        <is>
          <t>КП направлено через В2В. Назначить срок согласования. (Общее) (Сделки)</t>
        </is>
      </c>
      <c r="H16" s="18" t="inlineStr">
        <is>
          <t>в работе</t>
        </is>
      </c>
      <c r="I16" s="20" t="n">
        <v>2872238</v>
      </c>
      <c r="J16" s="18" t="inlineStr">
        <is>
          <t>37</t>
        </is>
      </c>
      <c r="K16" s="18" t="inlineStr">
        <is>
          <t>до 37 Кв включительно</t>
        </is>
      </c>
      <c r="L16" s="18" t="inlineStr">
        <is>
          <t>дизельный компрессор</t>
        </is>
      </c>
      <c r="M16" s="18" t="inlineStr">
        <is>
          <t>Сайт ac-kompressor.ru</t>
        </is>
      </c>
      <c r="N16" s="19" t="inlineStr">
        <is>
          <t>—</t>
        </is>
      </c>
      <c r="O16" s="18" t="inlineStr">
        <is>
          <t>Новосельцев Павел Владимирович</t>
        </is>
      </c>
    </row>
    <row r="17">
      <c r="A17" s="18" t="inlineStr">
        <is>
          <t>deal_154444</t>
        </is>
      </c>
      <c r="B17" s="19" t="inlineStr">
        <is>
          <t>Объединение Союзпищепром ООО - Компрессор (7,5 кВт)</t>
        </is>
      </c>
      <c r="C17" s="18" t="inlineStr">
        <is>
          <t>crossair-compressor.ru</t>
        </is>
      </c>
      <c r="D17" s="18" t="inlineStr">
        <is>
          <t>Товарка2 crossair от 31.07.26</t>
        </is>
      </c>
      <c r="E17" s="18" t="inlineStr">
        <is>
          <t>Поиск</t>
        </is>
      </c>
      <c r="F17" s="18" t="inlineStr">
        <is>
          <t>2026-08-27 08:31:55</t>
        </is>
      </c>
      <c r="G17" s="19" t="inlineStr">
        <is>
          <t>Отправить счёт, подписать договор, получить предоплату (Общее) (Сделки)</t>
        </is>
      </c>
      <c r="H17" s="18" t="inlineStr">
        <is>
          <t>в работе</t>
        </is>
      </c>
      <c r="I17" s="20" t="n">
        <v>111400</v>
      </c>
      <c r="J17" s="18" t="inlineStr">
        <is>
          <t>7,5</t>
        </is>
      </c>
      <c r="K17" s="18" t="inlineStr">
        <is>
          <t>до 37 Кв включительно</t>
        </is>
      </c>
      <c r="L17" s="18" t="inlineStr">
        <is>
          <t>винтовой компрессор</t>
        </is>
      </c>
      <c r="M17" s="18" t="inlineStr">
        <is>
          <t>Сайт crossair-compressor.ru</t>
        </is>
      </c>
      <c r="N17" s="19" t="inlineStr">
        <is>
          <t>—</t>
        </is>
      </c>
      <c r="O17" s="18" t="inlineStr">
        <is>
          <t>Прохоров Вячеслав Александрович</t>
        </is>
      </c>
    </row>
    <row r="18">
      <c r="A18" s="18" t="inlineStr">
        <is>
          <t>deal_154471</t>
        </is>
      </c>
      <c r="B18" s="19" t="inlineStr">
        <is>
          <t>РУЗСКИЙ ХЛЕБОЗАВОД 4 кВт</t>
        </is>
      </c>
      <c r="C18" s="18" t="inlineStr">
        <is>
          <t>berg-compressor.com</t>
        </is>
      </c>
      <c r="D18" s="18" t="inlineStr">
        <is>
          <t>Товарная кампания berg-compressor.com от 25.12.25</t>
        </is>
      </c>
      <c r="E18" s="18" t="inlineStr">
        <is>
          <t>РСЯ</t>
        </is>
      </c>
      <c r="F18" s="18" t="inlineStr">
        <is>
          <t>2026-08-27 10:02:22</t>
        </is>
      </c>
      <c r="G18" s="19" t="inlineStr">
        <is>
          <t>Отправить счёт, подписать договор, получить предоплату (Общее) (Сделки)</t>
        </is>
      </c>
      <c r="H18" s="18" t="inlineStr">
        <is>
          <t>в работе</t>
        </is>
      </c>
      <c r="I18" s="20" t="n">
        <v>263600</v>
      </c>
      <c r="J18" s="18" t="inlineStr">
        <is>
          <t>4</t>
        </is>
      </c>
      <c r="K18" s="18" t="inlineStr">
        <is>
          <t>до 37 Кв включительно</t>
        </is>
      </c>
      <c r="L18" s="18" t="inlineStr">
        <is>
          <t>винтовой компрессор</t>
        </is>
      </c>
      <c r="M18" s="18" t="inlineStr">
        <is>
          <t>Сайт berg-compressor.com</t>
        </is>
      </c>
      <c r="N18" s="19" t="inlineStr">
        <is>
          <t>—</t>
        </is>
      </c>
      <c r="O18" s="18" t="inlineStr">
        <is>
          <t>Цейзер Олег Владимирович</t>
        </is>
      </c>
    </row>
    <row r="19">
      <c r="A19" s="18" t="inlineStr">
        <is>
          <t>deal_154624</t>
        </is>
      </c>
      <c r="B19" s="19" t="inlineStr">
        <is>
          <t>Компрессор для ГБУЗ ВО ОКБ, спиральник, ресивер, 1м3, 8 бар, от 10 до 12 кВт, Мониторинг для Тендера, г. Владимир</t>
        </is>
      </c>
      <c r="C19" s="18" t="inlineStr">
        <is>
          <t>enger-air.ru</t>
        </is>
      </c>
      <c r="D19" s="18" t="inlineStr">
        <is>
          <t>[Товарка] enger-air.ru от 20.08.26</t>
        </is>
      </c>
      <c r="E19" s="18" t="inlineStr">
        <is>
          <t>Поиск</t>
        </is>
      </c>
      <c r="F19" s="18" t="inlineStr">
        <is>
          <t>2026-08-27 10:22:23</t>
        </is>
      </c>
      <c r="G19" s="19" t="inlineStr">
        <is>
          <t>Подготовить КП, отправить клиенту (Общее) (Сделки)</t>
        </is>
      </c>
      <c r="H19" s="18" t="inlineStr">
        <is>
          <t>в работе</t>
        </is>
      </c>
      <c r="I19" s="20" t="n">
        <v>1623500</v>
      </c>
      <c r="J19" s="18" t="inlineStr">
        <is>
          <t>5,5</t>
        </is>
      </c>
      <c r="K19" s="18" t="inlineStr">
        <is>
          <t>до 37 Кв включительно</t>
        </is>
      </c>
      <c r="L19" s="18" t="inlineStr">
        <is>
          <t>винтовой компрессор</t>
        </is>
      </c>
      <c r="M19" s="18" t="inlineStr">
        <is>
          <t>Сайт enger-air.ru</t>
        </is>
      </c>
      <c r="N19" s="19" t="inlineStr">
        <is>
          <t>—</t>
        </is>
      </c>
      <c r="O19" s="18" t="inlineStr">
        <is>
          <t>Балакирев Антон Сергеевич</t>
        </is>
      </c>
    </row>
    <row r="20">
      <c r="A20" s="18" t="inlineStr">
        <is>
          <t>deal_154465</t>
        </is>
      </c>
      <c r="B20" s="19" t="inlineStr">
        <is>
          <t>Русресурс - 22 квт 10 бар</t>
        </is>
      </c>
      <c r="C20" s="18" t="inlineStr">
        <is>
          <t>crossair-compressor.ru</t>
        </is>
      </c>
      <c r="D20" s="18" t="inlineStr">
        <is>
          <t>Не привязано к кампании</t>
        </is>
      </c>
      <c r="E20" s="18" t="inlineStr">
        <is>
          <t>—</t>
        </is>
      </c>
      <c r="F20" s="18" t="inlineStr">
        <is>
          <t>2026-08-27 10:51:37</t>
        </is>
      </c>
      <c r="G20" s="19" t="inlineStr">
        <is>
          <t>КП направлено через В2В. Назначить срок согласования. (Общее) (Сделки)</t>
        </is>
      </c>
      <c r="H20" s="18" t="inlineStr">
        <is>
          <t>в работе</t>
        </is>
      </c>
      <c r="I20" s="20" t="n">
        <v>657549</v>
      </c>
      <c r="J20" s="18" t="inlineStr">
        <is>
          <t>22</t>
        </is>
      </c>
      <c r="K20" s="18" t="inlineStr">
        <is>
          <t>до 37 Кв включительно</t>
        </is>
      </c>
      <c r="L20" s="18" t="inlineStr">
        <is>
          <t>винтовой компрессор</t>
        </is>
      </c>
      <c r="M20" s="18" t="inlineStr">
        <is>
          <t>Сайт crossair-compressor.ru</t>
        </is>
      </c>
      <c r="N20" s="19" t="inlineStr">
        <is>
          <t>—</t>
        </is>
      </c>
      <c r="O20" s="18" t="inlineStr">
        <is>
          <t>Новосельцев Павел Владимирович</t>
        </is>
      </c>
    </row>
    <row r="21">
      <c r="A21" s="18" t="inlineStr">
        <is>
          <t>deal_154481</t>
        </is>
      </c>
      <c r="B21" s="19" t="inlineStr">
        <is>
          <t>ЛЕПТОН НПО АО - IC 15/10 DIGI WiFi</t>
        </is>
      </c>
      <c r="C21" s="18" t="inlineStr">
        <is>
          <t>ironmac-compressor.com</t>
        </is>
      </c>
      <c r="D21" s="18" t="inlineStr">
        <is>
          <t>[Поиск] Бренд и модели</t>
        </is>
      </c>
      <c r="E21" s="18" t="inlineStr">
        <is>
          <t>Поиск</t>
        </is>
      </c>
      <c r="F21" s="18" t="inlineStr">
        <is>
          <t>2026-08-27 11:05:51</t>
        </is>
      </c>
      <c r="G21" s="19" t="inlineStr">
        <is>
          <t>Отправить счёт, подписать договор, получить предоплату (Общее) (Сделки)</t>
        </is>
      </c>
      <c r="H21" s="18" t="inlineStr">
        <is>
          <t>в работе</t>
        </is>
      </c>
      <c r="I21" s="20" t="n">
        <v>151950</v>
      </c>
      <c r="J21" s="18" t="inlineStr">
        <is>
          <t>11</t>
        </is>
      </c>
      <c r="K21" s="18" t="inlineStr">
        <is>
          <t>до 37 Кв включительно</t>
        </is>
      </c>
      <c r="L21" s="18" t="inlineStr">
        <is>
          <t>винтовой компрессор</t>
        </is>
      </c>
      <c r="M21" s="18" t="inlineStr">
        <is>
          <t>Сайт ironmac-compressor.com</t>
        </is>
      </c>
      <c r="N21" s="19" t="inlineStr">
        <is>
          <t>—</t>
        </is>
      </c>
      <c r="O21" s="18" t="inlineStr">
        <is>
          <t>Мельников Владислав Евгеньевич</t>
        </is>
      </c>
    </row>
    <row r="22">
      <c r="A22" s="18" t="inlineStr">
        <is>
          <t>deal_154482</t>
        </is>
      </c>
      <c r="B22" s="19" t="inlineStr">
        <is>
          <t>ГОФРОТАРА 37-8 Брянск</t>
        </is>
      </c>
      <c r="C22" s="18" t="inlineStr">
        <is>
          <t>berg-compressor.com</t>
        </is>
      </c>
      <c r="D22" s="18" t="inlineStr">
        <is>
          <t>Товарная кампания berg-compressor.com от 25.12.25</t>
        </is>
      </c>
      <c r="E22" s="18" t="inlineStr">
        <is>
          <t>РСЯ</t>
        </is>
      </c>
      <c r="F22" s="18" t="inlineStr">
        <is>
          <t>2026-08-27 11:26:07</t>
        </is>
      </c>
      <c r="G22" s="19" t="inlineStr">
        <is>
          <t>КП направлено через В2В. Назначить срок согласования. (Общее) (Сделки)</t>
        </is>
      </c>
      <c r="H22" s="18" t="inlineStr">
        <is>
          <t>в работе</t>
        </is>
      </c>
      <c r="I22" s="20" t="n">
        <v>330000</v>
      </c>
      <c r="J22" s="18" t="inlineStr">
        <is>
          <t>37</t>
        </is>
      </c>
      <c r="K22" s="18" t="inlineStr">
        <is>
          <t>до 37 Кв включительно</t>
        </is>
      </c>
      <c r="L22" s="18" t="inlineStr">
        <is>
          <t>винтовой компрессор</t>
        </is>
      </c>
      <c r="M22" s="18" t="inlineStr">
        <is>
          <t>Сайт berg-compressor.com</t>
        </is>
      </c>
      <c r="N22" s="19" t="inlineStr">
        <is>
          <t>—</t>
        </is>
      </c>
      <c r="O22" s="18" t="inlineStr">
        <is>
          <t>Цейзер Олег Владимирович</t>
        </is>
      </c>
    </row>
    <row r="23">
      <c r="A23" s="18" t="inlineStr">
        <is>
          <t>deal_154563</t>
        </is>
      </c>
      <c r="B23" s="19" t="inlineStr">
        <is>
          <t>КЭАЗ АО - МКС 30кВт с подг.</t>
        </is>
      </c>
      <c r="C23" s="18" t="inlineStr">
        <is>
          <t>enger-air.ru</t>
        </is>
      </c>
      <c r="D23" s="18" t="inlineStr">
        <is>
          <t>[Модульные] - Поиск</t>
        </is>
      </c>
      <c r="E23" s="18" t="inlineStr">
        <is>
          <t>Поиск</t>
        </is>
      </c>
      <c r="F23" s="18" t="inlineStr">
        <is>
          <t>2026-08-27 17:24:05</t>
        </is>
      </c>
      <c r="G23" s="19" t="inlineStr">
        <is>
          <t>Выявить потребность, подобрать оборудование (Общее) (Сделки)</t>
        </is>
      </c>
      <c r="H23" s="18" t="inlineStr">
        <is>
          <t>в работе</t>
        </is>
      </c>
      <c r="I23" s="20" t="n">
        <v>0</v>
      </c>
      <c r="J23" s="18" t="inlineStr">
        <is>
          <t>30</t>
        </is>
      </c>
      <c r="K23" s="18" t="inlineStr">
        <is>
          <t>до 37 Кв включительно</t>
        </is>
      </c>
      <c r="L23" s="18" t="inlineStr">
        <is>
          <t>МКС</t>
        </is>
      </c>
      <c r="M23" s="18" t="inlineStr">
        <is>
          <t>Сайт enger-air.ru</t>
        </is>
      </c>
      <c r="N23" s="19" t="inlineStr">
        <is>
          <t>—</t>
        </is>
      </c>
      <c r="O23" s="18" t="inlineStr">
        <is>
          <t>Мельников Владислав Евгеньевич</t>
        </is>
      </c>
    </row>
    <row r="24">
      <c r="A24" s="18" t="inlineStr">
        <is>
          <t>deal_154546</t>
        </is>
      </c>
      <c r="B24" s="19" t="inlineStr">
        <is>
          <t>МК-5 ООО дизель 12/15 кубов для буровой</t>
        </is>
      </c>
      <c r="C24" s="18" t="inlineStr">
        <is>
          <t>prokompressor.ru</t>
        </is>
      </c>
      <c r="D24" s="18" t="inlineStr">
        <is>
          <t>Dali</t>
        </is>
      </c>
      <c r="E24" s="18" t="inlineStr">
        <is>
          <t>Поиск</t>
        </is>
      </c>
      <c r="F24" s="18" t="inlineStr">
        <is>
          <t>2026-08-28 02:13:49</t>
        </is>
      </c>
      <c r="G24" s="19" t="inlineStr">
        <is>
          <t>Согласовать КП (Общее) (Сделки)</t>
        </is>
      </c>
      <c r="H24" s="18" t="inlineStr">
        <is>
          <t>в работе</t>
        </is>
      </c>
      <c r="I24" s="20" t="n">
        <v>4446892.3</v>
      </c>
      <c r="J24" s="18" t="inlineStr">
        <is>
          <t>30</t>
        </is>
      </c>
      <c r="K24" s="18" t="inlineStr">
        <is>
          <t>до 37 Кв включительно</t>
        </is>
      </c>
      <c r="L24" s="18" t="inlineStr">
        <is>
          <t>дизельный компрессор</t>
        </is>
      </c>
      <c r="M24" s="18" t="inlineStr">
        <is>
          <t>Сайт prokompressor.ru</t>
        </is>
      </c>
      <c r="N24" s="19" t="inlineStr">
        <is>
          <t>—</t>
        </is>
      </c>
      <c r="O24" s="18" t="inlineStr">
        <is>
          <t>Яшин Кирилл Борисович</t>
        </is>
      </c>
    </row>
    <row r="25">
      <c r="A25" s="18" t="inlineStr">
        <is>
          <t>deal_154621</t>
        </is>
      </c>
      <c r="B25" s="19" t="inlineStr">
        <is>
          <t>Физическое лицо - Осушитель</t>
        </is>
      </c>
      <c r="C25" s="18" t="inlineStr">
        <is>
          <t>remeza-kompressor.ru</t>
        </is>
      </c>
      <c r="D25" s="18" t="inlineStr">
        <is>
          <t>[Товарка] remeza-kompressor.ru от 03.06.26</t>
        </is>
      </c>
      <c r="E25" s="18" t="inlineStr">
        <is>
          <t>РСЯ</t>
        </is>
      </c>
      <c r="F25" s="18" t="inlineStr">
        <is>
          <t>2026-08-28 02:39:10</t>
        </is>
      </c>
      <c r="G25" s="19" t="inlineStr">
        <is>
          <t>КП направлено через В2В. Назначить срок согласования. (Общее) (Сделки)</t>
        </is>
      </c>
      <c r="H25" s="18" t="inlineStr">
        <is>
          <t>в работе</t>
        </is>
      </c>
      <c r="I25" s="20" t="n">
        <v>82220</v>
      </c>
      <c r="J25" s="18" t="inlineStr">
        <is>
          <t>—</t>
        </is>
      </c>
      <c r="K25" s="18" t="inlineStr">
        <is>
          <t>до 37 Кв включительно</t>
        </is>
      </c>
      <c r="L25" s="18" t="inlineStr">
        <is>
          <t>осушитель</t>
        </is>
      </c>
      <c r="M25" s="18" t="inlineStr">
        <is>
          <t>Сайт remeza-kompressor.ru</t>
        </is>
      </c>
      <c r="N25" s="19" t="inlineStr">
        <is>
          <t>—</t>
        </is>
      </c>
      <c r="O25" s="18" t="inlineStr">
        <is>
          <t>Прохоров Вячеслав Александрович</t>
        </is>
      </c>
    </row>
    <row r="26">
      <c r="A26" s="18" t="inlineStr">
        <is>
          <t>deal_154597</t>
        </is>
      </c>
      <c r="B26" s="19" t="inlineStr">
        <is>
          <t>Стрела ПО АО - 110кВт 8бар IP65 + реф.осуш. 275ФЗ  (мониторинг)</t>
        </is>
      </c>
      <c r="C26" s="18" t="inlineStr">
        <is>
          <t>ac-kompressor.ru</t>
        </is>
      </c>
      <c r="D26" s="18" t="inlineStr">
        <is>
          <t>Товарка c-kompressor.ru от 11.08.26</t>
        </is>
      </c>
      <c r="E26" s="18" t="inlineStr">
        <is>
          <t>Поиск</t>
        </is>
      </c>
      <c r="F26" s="18" t="inlineStr">
        <is>
          <t>2026-08-28 08:02:33</t>
        </is>
      </c>
      <c r="G26" s="19" t="inlineStr">
        <is>
          <t>Выявить потребность, подобрать оборудование (Общее) (Сделки)</t>
        </is>
      </c>
      <c r="H26" s="18" t="inlineStr">
        <is>
          <t>в работе</t>
        </is>
      </c>
      <c r="I26" s="20" t="n">
        <v>0</v>
      </c>
      <c r="J26" s="18" t="inlineStr">
        <is>
          <t>110</t>
        </is>
      </c>
      <c r="K26" s="18" t="inlineStr">
        <is>
          <t>от 45 Кв и выше</t>
        </is>
      </c>
      <c r="L26" s="18" t="inlineStr">
        <is>
          <t>винтовой компрессор</t>
        </is>
      </c>
      <c r="M26" s="18" t="inlineStr">
        <is>
          <t>Сайт ac-kompressor.ru</t>
        </is>
      </c>
      <c r="N26" s="19" t="inlineStr">
        <is>
          <t>—</t>
        </is>
      </c>
      <c r="O26" s="18" t="inlineStr">
        <is>
          <t>Мельников Владислав Евгеньевич</t>
        </is>
      </c>
    </row>
    <row r="27">
      <c r="A27" s="18" t="inlineStr">
        <is>
          <t>deal_154599</t>
        </is>
      </c>
      <c r="B27" s="19" t="inlineStr">
        <is>
          <t>ЭН+Уголь ООО - МКС</t>
        </is>
      </c>
      <c r="C27" s="18" t="inlineStr">
        <is>
          <t>enger-air.ru</t>
        </is>
      </c>
      <c r="D27" s="18" t="inlineStr">
        <is>
          <t>[Модульные] - Поиск</t>
        </is>
      </c>
      <c r="E27" s="18" t="inlineStr">
        <is>
          <t>Поиск</t>
        </is>
      </c>
      <c r="F27" s="18" t="inlineStr">
        <is>
          <t>2026-08-28 09:16:50</t>
        </is>
      </c>
      <c r="G27" s="19" t="inlineStr">
        <is>
          <t>Выявить потребность, подобрать оборудование (Общее) (Сделки)</t>
        </is>
      </c>
      <c r="H27" s="18" t="inlineStr">
        <is>
          <t>в работе</t>
        </is>
      </c>
      <c r="I27" s="20" t="n">
        <v>0</v>
      </c>
      <c r="J27" s="18" t="inlineStr">
        <is>
          <t>—</t>
        </is>
      </c>
      <c r="K27" s="18" t="inlineStr">
        <is>
          <t>до 37 Кв включительно</t>
        </is>
      </c>
      <c r="L27" s="18" t="inlineStr">
        <is>
          <t>МКС</t>
        </is>
      </c>
      <c r="M27" s="18" t="inlineStr">
        <is>
          <t>Сайт enger-air.ru</t>
        </is>
      </c>
      <c r="N27" s="19" t="inlineStr">
        <is>
          <t>—</t>
        </is>
      </c>
      <c r="O27" s="18" t="inlineStr">
        <is>
          <t>Прохоров Вячеслав Александрович</t>
        </is>
      </c>
    </row>
    <row r="28">
      <c r="A28" s="18" t="inlineStr">
        <is>
          <t>deal_154669</t>
        </is>
      </c>
      <c r="B28" s="19" t="inlineStr">
        <is>
          <t>ХАУС АРОМАТИК  7,5 - 11 кВт 10  МСК</t>
        </is>
      </c>
      <c r="C28" s="18" t="inlineStr">
        <is>
          <t>prokompressor.ru</t>
        </is>
      </c>
      <c r="D28" s="18" t="inlineStr">
        <is>
          <t>[Поиск] - Горячие запросы общие</t>
        </is>
      </c>
      <c r="E28" s="18" t="inlineStr">
        <is>
          <t>Поиск</t>
        </is>
      </c>
      <c r="F28" s="18" t="inlineStr">
        <is>
          <t>2026-08-28 15:03:36</t>
        </is>
      </c>
      <c r="G28" s="19" t="inlineStr">
        <is>
          <t>Согласовать КП (Общее) (Сделки)</t>
        </is>
      </c>
      <c r="H28" s="18" t="inlineStr">
        <is>
          <t>в работе</t>
        </is>
      </c>
      <c r="I28" s="20" t="n">
        <v>568000</v>
      </c>
      <c r="J28" s="18" t="inlineStr">
        <is>
          <t>11</t>
        </is>
      </c>
      <c r="K28" s="18" t="inlineStr">
        <is>
          <t>до 37 Кв включительно</t>
        </is>
      </c>
      <c r="L28" s="18" t="inlineStr">
        <is>
          <t>винтовой компрессор</t>
        </is>
      </c>
      <c r="M28" s="18" t="inlineStr">
        <is>
          <t>Сайт prokompressor.ru</t>
        </is>
      </c>
      <c r="N28" s="19" t="inlineStr">
        <is>
          <t>—</t>
        </is>
      </c>
      <c r="O28" s="18" t="inlineStr">
        <is>
          <t>Павлов Максим Геннадьевич</t>
        </is>
      </c>
    </row>
    <row r="29">
      <c r="A29" s="18" t="inlineStr">
        <is>
          <t>deal_154674</t>
        </is>
      </c>
      <c r="B29" s="19" t="inlineStr">
        <is>
          <t>СИТИ МАРИН  15 кВт 16   Питер  ТОРГ</t>
        </is>
      </c>
      <c r="C29" s="18" t="inlineStr">
        <is>
          <t>prokompressor.ru</t>
        </is>
      </c>
      <c r="D29" s="18" t="inlineStr">
        <is>
          <t>[Поиск] - Горячие запросы общие</t>
        </is>
      </c>
      <c r="E29" s="18" t="inlineStr">
        <is>
          <t>Поиск</t>
        </is>
      </c>
      <c r="F29" s="18" t="inlineStr">
        <is>
          <t>2026-08-28 16:11:26</t>
        </is>
      </c>
      <c r="G29" s="19" t="inlineStr">
        <is>
          <t>Забронировать товар (Общее) (Сделки)</t>
        </is>
      </c>
      <c r="H29" s="18" t="inlineStr">
        <is>
          <t>в работе</t>
        </is>
      </c>
      <c r="I29" s="20" t="n">
        <v>1298400</v>
      </c>
      <c r="J29" s="18" t="inlineStr">
        <is>
          <t>15</t>
        </is>
      </c>
      <c r="K29" s="18" t="inlineStr">
        <is>
          <t>до 37 Кв включительно</t>
        </is>
      </c>
      <c r="L29" s="18" t="inlineStr">
        <is>
          <t>винтовой компрессор</t>
        </is>
      </c>
      <c r="M29" s="18" t="inlineStr">
        <is>
          <t>Сайт prokompressor.ru</t>
        </is>
      </c>
      <c r="N29" s="19" t="inlineStr">
        <is>
          <t>—</t>
        </is>
      </c>
      <c r="O29" s="18" t="inlineStr">
        <is>
          <t>Павлов Максим Геннадьевич</t>
        </is>
      </c>
    </row>
    <row r="30">
      <c r="A30" s="21" t="inlineStr">
        <is>
          <t>ИТОГО сделок: 28</t>
        </is>
      </c>
      <c r="B30" s="22" t="n"/>
      <c r="C30" s="22" t="n"/>
      <c r="D30" s="22" t="n"/>
      <c r="E30" s="22" t="n"/>
      <c r="F30" s="22" t="n"/>
      <c r="G30" s="22" t="n"/>
      <c r="H30" s="21" t="inlineStr"/>
      <c r="I30" s="23">
        <f>SUM(I2:I29)</f>
        <v/>
      </c>
      <c r="J30" s="22" t="n"/>
      <c r="K30" s="22" t="n"/>
      <c r="L30" s="22" t="n"/>
      <c r="M30" s="22" t="n"/>
      <c r="N30" s="22" t="n"/>
      <c r="O30" s="22" t="n"/>
    </row>
    <row r="32">
      <c r="A32" s="24" t="inlineStr">
        <is>
          <t>Категории: «в работе» — активные стадии; «провалена» — стадия LOSE / статус «Провалена»;</t>
        </is>
      </c>
    </row>
    <row r="33">
      <c r="A33" s="24" t="inlineStr">
        <is>
          <t>«успешная» — «Доставить заказ», «Оплачено», «Успешно».</t>
        </is>
      </c>
    </row>
    <row r="34">
      <c r="A34" s="24" t="inlineStr">
        <is>
          <t>Сумма сделки — предварительная оценка воронки, это НЕ ВП и НЕ подтверждённая выручка.</t>
        </is>
      </c>
    </row>
  </sheetData>
  <autoFilter ref="A1:O3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34" customWidth="1" min="4" max="4"/>
    <col width="24" customWidth="1" min="5" max="5"/>
    <col width="30" customWidth="1" min="6" max="6"/>
    <col width="40" customWidth="1" min="7" max="7"/>
    <col width="14" customWidth="1" min="8" max="8"/>
    <col width="46" customWidth="1" min="9" max="9"/>
  </cols>
  <sheetData>
    <row r="1">
      <c r="A1" s="25" t="inlineStr">
        <is>
          <t>Исключения и оговорки — отчётная неделя 24.08-30.08.2026</t>
        </is>
      </c>
    </row>
    <row r="3">
      <c r="A3" s="26" t="inlineStr">
        <is>
          <t>Всего записей в выгрузке сделок</t>
        </is>
      </c>
      <c r="C3" s="27" t="n">
        <v>148</v>
      </c>
    </row>
    <row r="4">
      <c r="A4" s="26" t="inlineStr">
        <is>
          <t>Включено в отчёт (Лид 1)</t>
        </is>
      </c>
      <c r="C4" s="27" t="n">
        <v>145</v>
      </c>
    </row>
    <row r="5">
      <c r="A5" s="26" t="inlineStr">
        <is>
          <t>Исключено записей, всего</t>
        </is>
      </c>
      <c r="C5" s="27" t="n">
        <v>3</v>
      </c>
    </row>
    <row r="6">
      <c r="A6" s="26" t="inlineStr">
        <is>
          <t>— по не-сайтовому источнику проверки</t>
        </is>
      </c>
      <c r="C6" s="27" t="n">
        <v>3</v>
      </c>
    </row>
    <row r="7">
      <c r="A7" s="26" t="inlineStr">
        <is>
          <t>— по дате вне отчётной недели</t>
        </is>
      </c>
      <c r="C7" s="27" t="n">
        <v>0</v>
      </c>
    </row>
    <row r="8">
      <c r="A8" s="26" t="inlineStr">
        <is>
          <t>Сумма исключённых сделок, ₽</t>
        </is>
      </c>
      <c r="C8" s="28" t="n">
        <v>11452</v>
      </c>
    </row>
    <row r="9">
      <c r="A9" s="26" t="inlineStr">
        <is>
          <t>Сделок Лид 3 без определённой РК</t>
        </is>
      </c>
      <c r="C9" s="27" t="n">
        <v>2</v>
      </c>
    </row>
    <row r="11">
      <c r="A11" s="29" t="inlineStr">
        <is>
          <t>1. Исключены: источник проверки не начинается со слова «Сайт»</t>
        </is>
      </c>
    </row>
    <row r="12">
      <c r="A12" s="17" t="inlineStr">
        <is>
          <t>ID</t>
        </is>
      </c>
      <c r="B12" s="17" t="inlineStr">
        <is>
          <t>Дата создания</t>
        </is>
      </c>
      <c r="C12" s="17" t="inlineStr">
        <is>
          <t>Источник проверки</t>
        </is>
      </c>
      <c r="D12" s="17" t="inlineStr">
        <is>
          <t>Исходный источник</t>
        </is>
      </c>
      <c r="E12" s="17" t="inlineStr">
        <is>
          <t>Аккаунт/сайт</t>
        </is>
      </c>
      <c r="F12" s="17" t="inlineStr">
        <is>
          <t>Кампания</t>
        </is>
      </c>
      <c r="G12" s="17" t="inlineStr">
        <is>
          <t>Статус</t>
        </is>
      </c>
      <c r="H12" s="17" t="inlineStr">
        <is>
          <t>Сумма</t>
        </is>
      </c>
      <c r="I12" s="17" t="inlineStr">
        <is>
          <t>Причина исключения</t>
        </is>
      </c>
    </row>
    <row r="13">
      <c r="A13" s="18" t="inlineStr">
        <is>
          <t>lead_372004</t>
        </is>
      </c>
      <c r="B13" s="18" t="inlineStr">
        <is>
          <t>2026-08-25 11:02:44</t>
        </is>
      </c>
      <c r="C13" s="18" t="inlineStr">
        <is>
          <t>Звонок (не используем)</t>
        </is>
      </c>
      <c r="D13" s="19" t="inlineStr">
        <is>
          <t>ЯД berg-kompressor.ru → РСЯ → [РСЯ] BERG.RU → BERG → Компрессоры BERG. Скидка до 20% + под ключ + пневмоаудит → ---autotargeting</t>
        </is>
      </c>
      <c r="E13" s="18" t="inlineStr">
        <is>
          <t>berg-kompressor.ru</t>
        </is>
      </c>
      <c r="F13" s="18" t="inlineStr">
        <is>
          <t>[РСЯ] BERG.RU</t>
        </is>
      </c>
      <c r="G13" s="19" t="inlineStr">
        <is>
          <t>Некачественный КЦ (Лиды)</t>
        </is>
      </c>
      <c r="H13" s="20" t="n">
        <v>0</v>
      </c>
      <c r="I13" s="19" t="inlineStr">
        <is>
          <t>Источник проверки «Звонок (не используем)» — не сайтовый трафик, вне отчёта по Директу</t>
        </is>
      </c>
    </row>
    <row r="14">
      <c r="A14" s="18" t="inlineStr">
        <is>
          <t>deal_154616</t>
        </is>
      </c>
      <c r="B14" s="18" t="inlineStr">
        <is>
          <t>2026-08-25 16:34:19</t>
        </is>
      </c>
      <c r="C14" s="18" t="inlineStr">
        <is>
          <t>Постоянный с интернета</t>
        </is>
      </c>
      <c r="D14" s="19" t="inlineStr">
        <is>
          <t>ЯД ironmac-compressor.com</t>
        </is>
      </c>
      <c r="E14" s="18" t="inlineStr">
        <is>
          <t>ironmac-compressor.com</t>
        </is>
      </c>
      <c r="F14" s="18" t="inlineStr">
        <is>
          <t>Не привязано к кампании</t>
        </is>
      </c>
      <c r="G14" s="19" t="inlineStr">
        <is>
          <t>Отправить счёт, подписать договор, получить предоплату (Общее) (Сделки)</t>
        </is>
      </c>
      <c r="H14" s="20" t="n">
        <v>10295</v>
      </c>
      <c r="I14" s="19" t="inlineStr">
        <is>
          <t>Источник проверки «Постоянный с интернета» — не сайтовый трафик, вне отчёта по Директу</t>
        </is>
      </c>
    </row>
    <row r="15">
      <c r="A15" s="18" t="inlineStr">
        <is>
          <t>deal_154588</t>
        </is>
      </c>
      <c r="B15" s="18" t="inlineStr">
        <is>
          <t>2026-08-28 08:28:57</t>
        </is>
      </c>
      <c r="C15" s="18" t="inlineStr">
        <is>
          <t>Постоянный с интернета</t>
        </is>
      </c>
      <c r="D15" s="19" t="inlineStr">
        <is>
          <t>ЯД berg-compressor.com → РСЯ → Товарная кампания berg-compressor.com от 25.12.25 → Группа Мастер кампаний → Объявление Мастер кампаний → ---autotargeting</t>
        </is>
      </c>
      <c r="E15" s="18" t="inlineStr">
        <is>
          <t>berg-compressor.com</t>
        </is>
      </c>
      <c r="F15" s="18" t="inlineStr">
        <is>
          <t>Товарная кампания berg-compressor.com от 25.12.25</t>
        </is>
      </c>
      <c r="G15" s="19" t="inlineStr">
        <is>
          <t>Провалена, на проверке РОП (Общее) (Сделки)</t>
        </is>
      </c>
      <c r="H15" s="20" t="n">
        <v>1157</v>
      </c>
      <c r="I15" s="19" t="inlineStr">
        <is>
          <t>Источник проверки «Постоянный с интернета» — не сайтовый трафик, вне отчёта по Директу</t>
        </is>
      </c>
    </row>
    <row r="17">
      <c r="A17" s="29" t="inlineStr">
        <is>
          <t>2. Исключены: дата создания вне отчётной недели</t>
        </is>
      </c>
    </row>
    <row r="18">
      <c r="A18" s="17" t="inlineStr">
        <is>
          <t>ID</t>
        </is>
      </c>
      <c r="B18" s="17" t="inlineStr">
        <is>
          <t>Дата создания</t>
        </is>
      </c>
      <c r="C18" s="17" t="inlineStr">
        <is>
          <t>Источник проверки</t>
        </is>
      </c>
      <c r="D18" s="17" t="inlineStr">
        <is>
          <t>Исходный источник</t>
        </is>
      </c>
      <c r="E18" s="17" t="inlineStr">
        <is>
          <t>Аккаунт/сайт</t>
        </is>
      </c>
      <c r="F18" s="17" t="inlineStr">
        <is>
          <t>Кампания</t>
        </is>
      </c>
      <c r="G18" s="17" t="inlineStr">
        <is>
          <t>Статус</t>
        </is>
      </c>
      <c r="H18" s="17" t="inlineStr">
        <is>
          <t>Сумма</t>
        </is>
      </c>
      <c r="I18" s="17" t="inlineStr">
        <is>
          <t>Причина исключения</t>
        </is>
      </c>
    </row>
    <row r="19">
      <c r="A19" s="30" t="inlineStr">
        <is>
          <t>Записей нет</t>
        </is>
      </c>
    </row>
    <row r="21">
      <c r="A21" s="29" t="inlineStr">
        <is>
          <t>3. Учтены в отчёте, но рекламная кампания не определена</t>
        </is>
      </c>
    </row>
    <row r="22">
      <c r="A22" s="17" t="inlineStr">
        <is>
          <t>ID</t>
        </is>
      </c>
      <c r="B22" s="17" t="inlineStr">
        <is>
          <t>Дата создания</t>
        </is>
      </c>
      <c r="C22" s="17" t="inlineStr">
        <is>
          <t>Источник проверки</t>
        </is>
      </c>
      <c r="D22" s="17" t="inlineStr">
        <is>
          <t>Исходный источник</t>
        </is>
      </c>
      <c r="E22" s="17" t="inlineStr">
        <is>
          <t>Аккаунт/сайт</t>
        </is>
      </c>
      <c r="F22" s="17" t="inlineStr">
        <is>
          <t>Кампания</t>
        </is>
      </c>
      <c r="G22" s="17" t="inlineStr">
        <is>
          <t>Статус</t>
        </is>
      </c>
      <c r="H22" s="17" t="inlineStr">
        <is>
          <t>Сумма</t>
        </is>
      </c>
      <c r="I22" s="17" t="inlineStr">
        <is>
          <t>Причина исключения</t>
        </is>
      </c>
    </row>
    <row r="23">
      <c r="A23" s="18" t="inlineStr">
        <is>
          <t>deal_154465</t>
        </is>
      </c>
      <c r="B23" s="18" t="inlineStr">
        <is>
          <t>2026-08-27 10:51:37</t>
        </is>
      </c>
      <c r="C23" s="18" t="inlineStr">
        <is>
          <t>Сайт crossair-compressor.ru</t>
        </is>
      </c>
      <c r="D23" s="19" t="inlineStr">
        <is>
          <t>ЯД crossair-compressor.ru</t>
        </is>
      </c>
      <c r="E23" s="18" t="inlineStr">
        <is>
          <t>crossair-compressor.ru</t>
        </is>
      </c>
      <c r="F23" s="18" t="inlineStr">
        <is>
          <t>Не привязано к кампании</t>
        </is>
      </c>
      <c r="G23" s="19" t="inlineStr">
        <is>
          <t>КП направлено через В2В. Назначить срок согласования. (Общее) (Сделки)</t>
        </is>
      </c>
      <c r="H23" s="20" t="n">
        <v>657549</v>
      </c>
      <c r="I23" s="19" t="inlineStr">
        <is>
          <t>В цепочке «Источник» нет РК; roistat/utm_campaign не содержат кампании — блок «Не привязано к кампании»</t>
        </is>
      </c>
    </row>
    <row r="24">
      <c r="A24" s="18" t="inlineStr">
        <is>
          <t>deal_154303</t>
        </is>
      </c>
      <c r="B24" s="18" t="inlineStr">
        <is>
          <t>2026-08-25 16:34:19</t>
        </is>
      </c>
      <c r="C24" s="18" t="inlineStr">
        <is>
          <t>Сайт ironmac-compressor.com</t>
        </is>
      </c>
      <c r="D24" s="19" t="inlineStr">
        <is>
          <t>ЯД ironmac-compressor.com</t>
        </is>
      </c>
      <c r="E24" s="18" t="inlineStr">
        <is>
          <t>ironmac-compressor.com</t>
        </is>
      </c>
      <c r="F24" s="18" t="inlineStr">
        <is>
          <t>Не привязано к кампании</t>
        </is>
      </c>
      <c r="G24" s="19" t="inlineStr">
        <is>
          <t>Доставить заказ (Общее) (Сделки)</t>
        </is>
      </c>
      <c r="H24" s="20" t="n">
        <v>165810</v>
      </c>
      <c r="I24" s="19" t="inlineStr">
        <is>
          <t>В цепочке «Источник» нет РК; roistat/utm_campaign не содержат кампании — блок «Не привязано к кампании»</t>
        </is>
      </c>
    </row>
    <row r="27">
      <c r="A27" s="29" t="inlineStr">
        <is>
          <t>Справочно (записи НЕ исключены из отчёта)</t>
        </is>
      </c>
    </row>
    <row r="28" ht="45" customHeight="1">
      <c r="A28" s="31" t="inlineStr">
        <is>
          <t>Расхождение сайта в источнике проверки и в цепочке «Источник»: 8 записей (lead_372748, lead_372723, lead_372469, lead_372463, lead_372448, lead_372141, lead_371959, deal_154036). Отбор в отчёт выполнен по источнику проверки, привязка к аккаунту и РК — по цепочке «Источник» (приоритет 1 правила привязки).</t>
        </is>
      </c>
    </row>
    <row r="29" ht="45" customHeight="1">
      <c r="A29" s="31" t="inlineStr">
        <is>
          <t>Визиты Яндекс Директа без привязки к аккаунту (сломанная UTM-разметка: ya-enger, yandex-enger, yandex-merchants, yandex-prokompressor, yandexsmartcamera, Яндекс.Директ): 124 визитов, 0 ₽ расхода, 0 заявок. В блоки аккаунтов не включены.</t>
        </is>
      </c>
    </row>
    <row r="30" ht="45" customHeight="1">
      <c r="A30" s="31" t="inlineStr">
        <is>
          <t>ВП по всем аккаунтам = 0: поля «ВП (маржа)», «ВП (реальная, с 1С)», «ВП (ориентировочная)» в выгрузке сделок не заполнены, а «ВП (реальная, с 1С) по дате создания» в выгрузке Roistat равна нулю за неделю. ROI не рассчитывается.</t>
        </is>
      </c>
    </row>
  </sheetData>
  <mergeCells count="10">
    <mergeCell ref="A4:B4"/>
    <mergeCell ref="A29:I29"/>
    <mergeCell ref="A7:B7"/>
    <mergeCell ref="A28:I28"/>
    <mergeCell ref="A5:B5"/>
    <mergeCell ref="A9:B9"/>
    <mergeCell ref="A8:B8"/>
    <mergeCell ref="A3:B3"/>
    <mergeCell ref="A6:B6"/>
    <mergeCell ref="A30:I30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122" customWidth="1" min="2" max="2"/>
  </cols>
  <sheetData>
    <row r="1">
      <c r="A1" s="25" t="inlineStr">
        <is>
          <t>Методика расчёта — отчёт «Директ КЦ», неделя 24.08-30.08.2026</t>
        </is>
      </c>
    </row>
    <row r="3" ht="40.5" customHeight="1">
      <c r="A3" s="32" t="inlineStr">
        <is>
          <t>Отчётный период</t>
        </is>
      </c>
      <c r="B3" s="33" t="inlineStr">
        <is>
          <t>С 24.08.2026 00:00 до 31.08.2026 00:00 (включительно 24.08–30.08.2026). Период определён по именам выгрузок Roistat (20260824_20260830) и по диапазону выгрузки сделок. Дата включения — поле «Дата» (дата создания лида/сделки). Записи вне периода в показатели не входят и вынесены на лист «Комментарий».</t>
        </is>
      </c>
    </row>
    <row r="4" ht="67.5" customHeight="1">
      <c r="A4" s="32" t="inlineStr">
        <is>
          <t>Источник проверки (главный фильтр)</t>
        </is>
      </c>
      <c r="B4" s="33" t="inlineStr">
        <is>
          <t>Используется второе поле «Источник» выгрузки сделок («Источник.1», в Битрикс24 — проверенный менеджером источник; дублируется полем «*источник - контроль»). В отчёт попадают только записи, значение которых начинается со слова «Сайт» (Сайт prokompressor.ru, Сайт enger-air.ru и т. д.). «Постоянный с интернета», «Звонок (не используем)», SEO, прямой заход, e-mail, рассылки, мессенджеры, офлайн и неопределённый источник исключаются, даже если в поле «Источник» указано «ЯД …» или в UTM есть yandex.</t>
        </is>
      </c>
    </row>
    <row r="5" ht="30" customHeight="1">
      <c r="A5" s="32" t="inlineStr">
        <is>
          <t>Лид 1</t>
        </is>
      </c>
      <c r="B5" s="33" t="inlineStr">
        <is>
          <t>Все обращения Яндекс Директа, созданные в отчётную неделю, прошедшие фильтр источника проверки «Сайт …» и привязанные к аккаунту Яндекс Директа (уровень 1 цепочки «Источник» вида «ЯД сайт»). За неделю — 145 записей.</t>
        </is>
      </c>
    </row>
    <row r="6" ht="54" customHeight="1">
      <c r="A6" s="32" t="inlineStr">
        <is>
          <t>Лид 2</t>
        </is>
      </c>
      <c r="B6" s="33" t="inlineStr">
        <is>
          <t>Лид 1 за вычетом записей, у которых в причинах закрытия («Причина провала лида (КЦ)», «Причина провала сделки (КЦ-Продажа)» и текстовых полях причин) встречается: «Спам», «массовый обзвон», «рассылка», «рекламные предложения», «Дубль», «Такой лид/сделка уже есть». Причины «не наш ассортимент», «нужна консультация», «нет потребности», «не выходит на связь», «торговая организация», «купили у конкурента» НЕ исключаются. За неделю — 98 записей.</t>
        </is>
      </c>
    </row>
    <row r="7" ht="40.5" customHeight="1">
      <c r="A7" s="32" t="inlineStr">
        <is>
          <t>Оговорка по Лид 2</t>
        </is>
      </c>
      <c r="B7" s="33" t="inlineStr">
        <is>
          <t>Две записи (deal_154334, deal_154036) имеют причину «Дубль. Такой лид/сделка уже есть», но при этом являются качественными лидами с созданной сделкой. Они оставлены в Лид 2, чтобы воронка оставалась монотонной (Лид 1 ≥ Лид 2 ≥ Лид 3). Без этой оговорки Лид 2 составил бы 96.</t>
        </is>
      </c>
    </row>
    <row r="8" ht="40.5" customHeight="1">
      <c r="A8" s="32" t="inlineStr">
        <is>
          <t>Лид 3</t>
        </is>
      </c>
      <c r="B8" s="33" t="inlineStr">
        <is>
          <t>Качественный лид, равный созданной сделке: поле «Качественный лид» = «Да» и одновременно заполнены ID вида deal_…, стадия и статус сделки. Двойного учёта лида и созданной из него сделки нет — в выгрузке это одна запись. За неделю — 28 сделок.</t>
        </is>
      </c>
    </row>
    <row r="9" ht="54" customHeight="1">
      <c r="A9" s="32" t="inlineStr">
        <is>
          <t>Привязка к РК</t>
        </is>
      </c>
      <c r="B9" s="33" t="inlineStr">
        <is>
          <t>Приоритет: 1) цепочка поля «Источник» («ЯД сайт → Поиск/РСЯ → Кампания»); 2) значение roistat; 3) utm_campaign; 4) идентификатор РК; 5) рекламная выгрузка Roistat. Если сайт определён, а конкретная РК — нет, лид и сделка учитываются в итогах сайта и показываются в блоке «Не привязано к кампании»; кампания по догадке не присваивается. Одна кампания, работавшая и в Поиске, и в РСЯ, показана одним блоком с префиксом «[Поиск и РСЯ]».</t>
        </is>
      </c>
    </row>
    <row r="10" ht="40.5" customHeight="1">
      <c r="A10" s="32" t="inlineStr">
        <is>
          <t>Статусы сделок</t>
        </is>
      </c>
      <c r="B10" s="33" t="inlineStr">
        <is>
          <t>«В работе» — незакрытые стадии (выявление потребности, подготовка и отправка КП, согласование КП, счёт, договор, предоплата, бронирование, логистика). «Провалена» — стадия LOSE или статус «Провалена». «Успешная» — «Доставить заказ», «Оплачено», «Успешно». В табличные блоки эти статусы не выводятся — только в текстовый вывод и на лист «Сделки».</t>
        </is>
      </c>
    </row>
    <row r="11" ht="40.5" customHeight="1">
      <c r="A11" s="32" t="inlineStr">
        <is>
          <t>Мощность</t>
        </is>
      </c>
      <c r="B11" s="33" t="inlineStr">
        <is>
          <t>Приоритет: 1) «Мощность мах ком-ра в сделке»; 2) «Мощность оборудования»; 3) название сделки, если мощность в нём указана однозначно (7,5 кВт, 15 кВт, 37 кВт, 110 кВт). Одинаковые мощности сгруппированы. Поле «Группа по мощности» (до 37 кВт / от 45 кВт) вынесено на лист «Сделки» справочно.</t>
        </is>
      </c>
    </row>
    <row r="12" ht="67.5" customHeight="1">
      <c r="A12" s="32" t="inlineStr">
        <is>
          <t>Оборудование</t>
        </is>
      </c>
      <c r="B12" s="33" t="inlineStr">
        <is>
          <t>Приоритет: 1) товарные позиции (поле «Группа товара»); 2) название сделки; 3) комментарий; 4) название РК — только как вспомогательный признак. Нормализация: МКС / модульная (компрессорная) станция / контейнерная станция → МКС; азотная станция / генератор азота / азот → генератор азота; осушитель любого типа → осушитель; дизель, дизельный → дизельный компрессор; воздуходувка → воздуходувка; компрессор, винтовой компрессор → винтовой компрессор (если нет более точного типа); фотосепаратор, сортировщик → фотосепаратор. Если тип определить нельзя — «тип оборудования не указан».</t>
        </is>
      </c>
    </row>
    <row r="13" ht="30" customHeight="1">
      <c r="A13" s="32" t="inlineStr">
        <is>
          <t>Ориентировочная сумма активных сделок</t>
        </is>
      </c>
      <c r="B13" s="33" t="inlineStr">
        <is>
          <t>Сумма поля «Сумма сделки» только по сделкам в статусе «В работе». Это предварительная денежная оценка активной воронки: НЕ ВП, НЕ маржа и НЕ подтверждённая выручка. Слово «выручка» к активным сделкам не применяется.</t>
        </is>
      </c>
    </row>
    <row r="14" ht="54" customHeight="1">
      <c r="A14" s="32" t="inlineStr">
        <is>
          <t>ВП и продажи</t>
        </is>
      </c>
      <c r="B14" s="33" t="inlineStr">
        <is>
          <t>ВП берётся только из полей валовой прибыли («ВП», «ВП (маржа)», «ВП (реальная, с 1С)»). За отчётную неделю они не заполнены, а «ВП (реальная, с 1С) по дате создания» в выгрузке Roistat равна 0 — поэтому строка «ВП» = 0, ROI не рассчитывается, средний чек = 0. Сумма сделки ВП не подменяет. В строку «Продажи» включена только успешно завершённая сделка (1 шт., ironmac-compressor.com).</t>
        </is>
      </c>
    </row>
    <row r="15" ht="54" customHeight="1">
      <c r="A15" s="32" t="inlineStr">
        <is>
          <t>Источники данных</t>
        </is>
      </c>
      <c r="B15" s="33" t="inlineStr">
        <is>
          <t>Показы, визиты, расходы — выгрузка Roistat project_294017_report_23_20260824_20260830.xlsx (фильтр Яндекс Директа). Лид 1 / Лид 2 / Лид 3, статусы, суммы, мощности, оборудование — выгрузка сделок list_orders_294017_20260823T21:00–20260830T20:59. Вторая выгрузка Roistat (report_default) использована для сверки заявок и квал-лидов. Оформление — лист «Директ КЦ» файла Metriki-OM-KTs_2026.xlsx.</t>
        </is>
      </c>
    </row>
    <row r="16" ht="54" customHeight="1">
      <c r="A16" s="32" t="inlineStr">
        <is>
          <t>Формулы</t>
        </is>
      </c>
      <c r="B16" s="33" t="inlineStr">
        <is>
          <t>CTR = Визиты / Показы; CPC = Рекламный бюджет / Визиты; Конверсия в заявку = Лид 1 / Визиты; Стоимость Лида 1 = Рекламный бюджет / Лид 1; Стоимость Лида 2 = Рекламный бюджет / Лиды 2; Стоимость Лида 3 = Рекламный бюджет / Лиды 3; Средний чек = ВП / Продажи. Все расчётные строки обёрнуты в IFERROR(…;0). Блок аккаунта — сумма блоков его кампаний, блок «Яндекс Директ Общие» — сумма блоков аккаунтов.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2026-08-31T10:04:25Z</dcterms:created>
  <dcterms:modified xsi:type="dcterms:W3CDTF">2026-08-31T10:04:25Z</dcterms:modified>
</cp:coreProperties>
</file>